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ables/table3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BDE6717-2710-49FA-92D9-AF9687C74B5A}" xr6:coauthVersionLast="47" xr6:coauthVersionMax="47" xr10:uidLastSave="{00000000-0000-0000-0000-000000000000}"/>
  <bookViews>
    <workbookView xWindow="-110" yWindow="-110" windowWidth="19420" windowHeight="10300" firstSheet="2" activeTab="4" xr2:uid="{F6878740-1B71-48DA-A1C7-AE87CFBEDB4B}"/>
  </bookViews>
  <sheets>
    <sheet name="Data Perhitungan" sheetId="1" r:id="rId1"/>
    <sheet name="Hasil EFB 10mm" sheetId="2" r:id="rId2"/>
    <sheet name="Hasil EFB 2mm" sheetId="3" r:id="rId3"/>
    <sheet name="Hasil EFB 0.85mm" sheetId="4" r:id="rId4"/>
    <sheet name="Ringkasan Hasil Analisis Logam" sheetId="5" r:id="rId5"/>
  </sheets>
  <definedNames>
    <definedName name="solver_adj" localSheetId="0" hidden="1">'Data Perhitungan'!$C$27</definedName>
    <definedName name="solver_adj" localSheetId="3" hidden="1">'Hasil EFB 0.85mm'!$K$273</definedName>
    <definedName name="solver_adj" localSheetId="1" hidden="1">'Hasil EFB 10mm'!$K$271</definedName>
    <definedName name="solver_adj" localSheetId="2" hidden="1">'Hasil EFB 2mm'!$K$273</definedName>
    <definedName name="solver_cvg" localSheetId="0" hidden="1">0.0001</definedName>
    <definedName name="solver_cvg" localSheetId="3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3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3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3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3" hidden="1">2147483647</definedName>
    <definedName name="solver_itr" localSheetId="1" hidden="1">2147483647</definedName>
    <definedName name="solver_itr" localSheetId="2" hidden="1">2147483647</definedName>
    <definedName name="solver_lhs1" localSheetId="0" hidden="1">'Data Perhitungan'!$C$27</definedName>
    <definedName name="solver_lhs1" localSheetId="3" hidden="1">'Hasil EFB 0.85mm'!$K$273</definedName>
    <definedName name="solver_lhs1" localSheetId="1" hidden="1">'Hasil EFB 10mm'!$K$271</definedName>
    <definedName name="solver_lhs1" localSheetId="2" hidden="1">'Hasil EFB 2mm'!$K$273</definedName>
    <definedName name="solver_lhs2" localSheetId="0" hidden="1">'Data Perhitungan'!$C$27</definedName>
    <definedName name="solver_mip" localSheetId="0" hidden="1">2147483647</definedName>
    <definedName name="solver_mip" localSheetId="3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3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3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3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3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3" hidden="1">2147483647</definedName>
    <definedName name="solver_nod" localSheetId="1" hidden="1">2147483647</definedName>
    <definedName name="solver_nod" localSheetId="2" hidden="1">2147483647</definedName>
    <definedName name="solver_num" localSheetId="0" hidden="1">1</definedName>
    <definedName name="solver_num" localSheetId="3" hidden="1">1</definedName>
    <definedName name="solver_num" localSheetId="1" hidden="1">1</definedName>
    <definedName name="solver_num" localSheetId="2" hidden="1">1</definedName>
    <definedName name="solver_nwt" localSheetId="0" hidden="1">1</definedName>
    <definedName name="solver_nwt" localSheetId="3" hidden="1">1</definedName>
    <definedName name="solver_nwt" localSheetId="1" hidden="1">1</definedName>
    <definedName name="solver_nwt" localSheetId="2" hidden="1">1</definedName>
    <definedName name="solver_opt" localSheetId="0" hidden="1">'Data Perhitungan'!$H$26</definedName>
    <definedName name="solver_opt" localSheetId="3" hidden="1">'Hasil EFB 0.85mm'!$K$275</definedName>
    <definedName name="solver_opt" localSheetId="1" hidden="1">'Hasil EFB 10mm'!$K$273</definedName>
    <definedName name="solver_opt" localSheetId="2" hidden="1">'Hasil EFB 2mm'!$K$275</definedName>
    <definedName name="solver_pre" localSheetId="0" hidden="1">0.000001</definedName>
    <definedName name="solver_pre" localSheetId="3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3" hidden="1">1</definedName>
    <definedName name="solver_rbv" localSheetId="1" hidden="1">1</definedName>
    <definedName name="solver_rbv" localSheetId="2" hidden="1">1</definedName>
    <definedName name="solver_rel1" localSheetId="0" hidden="1">3</definedName>
    <definedName name="solver_rel1" localSheetId="3" hidden="1">3</definedName>
    <definedName name="solver_rel1" localSheetId="1" hidden="1">3</definedName>
    <definedName name="solver_rel1" localSheetId="2" hidden="1">3</definedName>
    <definedName name="solver_rel2" localSheetId="0" hidden="1">3</definedName>
    <definedName name="solver_rhs1" localSheetId="0" hidden="1">0</definedName>
    <definedName name="solver_rhs1" localSheetId="3" hidden="1">0</definedName>
    <definedName name="solver_rhs1" localSheetId="1" hidden="1">0</definedName>
    <definedName name="solver_rhs1" localSheetId="2" hidden="1">0</definedName>
    <definedName name="solver_rhs2" localSheetId="0" hidden="1">0</definedName>
    <definedName name="solver_rlx" localSheetId="0" hidden="1">2</definedName>
    <definedName name="solver_rlx" localSheetId="3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3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3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3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3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3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3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3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3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3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77" i="4" l="1" a="1"/>
  <c r="K277" i="4" s="1"/>
  <c r="K276" i="4" a="1"/>
  <c r="K276" i="4" s="1"/>
  <c r="H272" i="4"/>
  <c r="G272" i="4"/>
  <c r="F278" i="4"/>
  <c r="G278" i="4" s="1"/>
  <c r="H278" i="4" s="1"/>
  <c r="F277" i="4"/>
  <c r="G277" i="4" s="1"/>
  <c r="H277" i="4" s="1"/>
  <c r="F276" i="4"/>
  <c r="G276" i="4" s="1"/>
  <c r="H276" i="4" s="1"/>
  <c r="F275" i="4"/>
  <c r="G275" i="4" s="1"/>
  <c r="H275" i="4" s="1"/>
  <c r="F274" i="4"/>
  <c r="G274" i="4" s="1"/>
  <c r="H274" i="4" s="1"/>
  <c r="F273" i="4"/>
  <c r="G273" i="4" s="1"/>
  <c r="H273" i="4" s="1"/>
  <c r="E272" i="4"/>
  <c r="D272" i="4"/>
  <c r="C278" i="4"/>
  <c r="D278" i="4" s="1"/>
  <c r="E278" i="4" s="1"/>
  <c r="C277" i="4"/>
  <c r="D277" i="4" s="1"/>
  <c r="E277" i="4" s="1"/>
  <c r="C276" i="4"/>
  <c r="D276" i="4" s="1"/>
  <c r="E276" i="4" s="1"/>
  <c r="C275" i="4"/>
  <c r="D275" i="4" s="1"/>
  <c r="E275" i="4" s="1"/>
  <c r="C274" i="4"/>
  <c r="D274" i="4" s="1"/>
  <c r="E274" i="4" s="1"/>
  <c r="C273" i="4"/>
  <c r="D273" i="4" s="1"/>
  <c r="E273" i="4" s="1"/>
  <c r="F278" i="3"/>
  <c r="G278" i="3" s="1"/>
  <c r="H278" i="3" s="1"/>
  <c r="F277" i="3"/>
  <c r="F276" i="3"/>
  <c r="G276" i="3" s="1"/>
  <c r="H276" i="3" s="1"/>
  <c r="F275" i="3"/>
  <c r="F274" i="3"/>
  <c r="G274" i="3" s="1"/>
  <c r="H274" i="3" s="1"/>
  <c r="F273" i="3"/>
  <c r="G273" i="3" s="1"/>
  <c r="H273" i="3" s="1"/>
  <c r="C278" i="3"/>
  <c r="D278" i="3" s="1"/>
  <c r="E278" i="3" s="1"/>
  <c r="C277" i="3"/>
  <c r="D277" i="3" s="1"/>
  <c r="E277" i="3" s="1"/>
  <c r="C276" i="3"/>
  <c r="D276" i="3" s="1"/>
  <c r="E276" i="3" s="1"/>
  <c r="C275" i="3"/>
  <c r="D275" i="3" s="1"/>
  <c r="E275" i="3" s="1"/>
  <c r="C274" i="3"/>
  <c r="D274" i="3" s="1"/>
  <c r="E274" i="3" s="1"/>
  <c r="C273" i="3"/>
  <c r="D273" i="3" s="1"/>
  <c r="E273" i="3" s="1"/>
  <c r="K277" i="3" a="1"/>
  <c r="K277" i="3"/>
  <c r="K276" i="3" a="1"/>
  <c r="K276" i="3" s="1"/>
  <c r="H272" i="3"/>
  <c r="G272" i="3"/>
  <c r="E272" i="3"/>
  <c r="D272" i="3"/>
  <c r="K275" i="2" a="1"/>
  <c r="K275" i="2" s="1"/>
  <c r="K274" i="2" a="1"/>
  <c r="K274" i="2" s="1"/>
  <c r="H270" i="2"/>
  <c r="G270" i="2"/>
  <c r="F276" i="2"/>
  <c r="G276" i="2" s="1"/>
  <c r="H276" i="2" s="1"/>
  <c r="F275" i="2"/>
  <c r="G275" i="2" s="1"/>
  <c r="H275" i="2" s="1"/>
  <c r="F274" i="2"/>
  <c r="G274" i="2" s="1"/>
  <c r="H274" i="2" s="1"/>
  <c r="F273" i="2"/>
  <c r="G273" i="2" s="1"/>
  <c r="H273" i="2" s="1"/>
  <c r="F272" i="2"/>
  <c r="G272" i="2" s="1"/>
  <c r="H272" i="2" s="1"/>
  <c r="F271" i="2"/>
  <c r="G271" i="2" s="1"/>
  <c r="H271" i="2" s="1"/>
  <c r="E270" i="2"/>
  <c r="D270" i="2"/>
  <c r="C276" i="2"/>
  <c r="D276" i="2" s="1"/>
  <c r="E276" i="2" s="1"/>
  <c r="C275" i="2"/>
  <c r="D275" i="2" s="1"/>
  <c r="E275" i="2" s="1"/>
  <c r="C274" i="2"/>
  <c r="D274" i="2" s="1"/>
  <c r="E274" i="2" s="1"/>
  <c r="C273" i="2"/>
  <c r="D273" i="2" s="1"/>
  <c r="E273" i="2" s="1"/>
  <c r="C272" i="2"/>
  <c r="D272" i="2" s="1"/>
  <c r="E272" i="2" s="1"/>
  <c r="C271" i="2"/>
  <c r="D271" i="2" s="1"/>
  <c r="E271" i="2" s="1"/>
  <c r="K275" i="4" l="1"/>
  <c r="K279" i="4" s="1"/>
  <c r="K274" i="4"/>
  <c r="K278" i="4" s="1"/>
  <c r="K274" i="3"/>
  <c r="K278" i="3" s="1"/>
  <c r="K273" i="2"/>
  <c r="K272" i="2"/>
  <c r="K276" i="2"/>
  <c r="G31" i="5"/>
  <c r="F31" i="5"/>
  <c r="E31" i="5"/>
  <c r="D31" i="5"/>
  <c r="C31" i="5"/>
  <c r="F251" i="4"/>
  <c r="G251" i="4" s="1"/>
  <c r="H251" i="4" s="1"/>
  <c r="F250" i="4"/>
  <c r="F249" i="4"/>
  <c r="G249" i="4" s="1"/>
  <c r="H249" i="4" s="1"/>
  <c r="F248" i="4"/>
  <c r="F247" i="4"/>
  <c r="G247" i="4" s="1"/>
  <c r="H247" i="4" s="1"/>
  <c r="F246" i="4"/>
  <c r="G246" i="4" s="1"/>
  <c r="H246" i="4" s="1"/>
  <c r="C251" i="4"/>
  <c r="D251" i="4" s="1"/>
  <c r="E251" i="4" s="1"/>
  <c r="C250" i="4"/>
  <c r="D250" i="4" s="1"/>
  <c r="E250" i="4" s="1"/>
  <c r="C249" i="4"/>
  <c r="C248" i="4"/>
  <c r="C247" i="4"/>
  <c r="D247" i="4" s="1"/>
  <c r="E247" i="4" s="1"/>
  <c r="C246" i="4"/>
  <c r="D246" i="4" s="1"/>
  <c r="E246" i="4" s="1"/>
  <c r="K250" i="4" a="1"/>
  <c r="K250" i="4"/>
  <c r="K249" i="4" a="1"/>
  <c r="K249" i="4"/>
  <c r="H245" i="4"/>
  <c r="G245" i="4"/>
  <c r="E245" i="4"/>
  <c r="D245" i="4"/>
  <c r="G20" i="5"/>
  <c r="F20" i="5"/>
  <c r="E20" i="5"/>
  <c r="D20" i="5"/>
  <c r="C20" i="5"/>
  <c r="F252" i="3"/>
  <c r="G252" i="3" s="1"/>
  <c r="H252" i="3" s="1"/>
  <c r="F251" i="3"/>
  <c r="F250" i="3"/>
  <c r="G250" i="3" s="1"/>
  <c r="H250" i="3" s="1"/>
  <c r="F249" i="3"/>
  <c r="F248" i="3"/>
  <c r="G248" i="3" s="1"/>
  <c r="H248" i="3" s="1"/>
  <c r="F247" i="3"/>
  <c r="G247" i="3" s="1"/>
  <c r="H247" i="3" s="1"/>
  <c r="C252" i="3"/>
  <c r="D252" i="3" s="1"/>
  <c r="E252" i="3" s="1"/>
  <c r="C251" i="3"/>
  <c r="D251" i="3" s="1"/>
  <c r="E251" i="3" s="1"/>
  <c r="C250" i="3"/>
  <c r="C249" i="3"/>
  <c r="C248" i="3"/>
  <c r="D248" i="3" s="1"/>
  <c r="E248" i="3" s="1"/>
  <c r="C247" i="3"/>
  <c r="D247" i="3" s="1"/>
  <c r="E247" i="3" s="1"/>
  <c r="K251" i="3" a="1"/>
  <c r="K251" i="3"/>
  <c r="K250" i="3" a="1"/>
  <c r="K250" i="3"/>
  <c r="H246" i="3"/>
  <c r="G246" i="3"/>
  <c r="E246" i="3"/>
  <c r="D246" i="3"/>
  <c r="H9" i="5"/>
  <c r="G9" i="5"/>
  <c r="F9" i="5"/>
  <c r="E9" i="5"/>
  <c r="D9" i="5"/>
  <c r="C9" i="5"/>
  <c r="F250" i="2"/>
  <c r="G250" i="2" s="1"/>
  <c r="H250" i="2" s="1"/>
  <c r="F249" i="2"/>
  <c r="F248" i="2"/>
  <c r="G248" i="2" s="1"/>
  <c r="H248" i="2" s="1"/>
  <c r="F247" i="2"/>
  <c r="F246" i="2"/>
  <c r="G246" i="2" s="1"/>
  <c r="H246" i="2" s="1"/>
  <c r="F245" i="2"/>
  <c r="G245" i="2" s="1"/>
  <c r="H245" i="2" s="1"/>
  <c r="C250" i="2"/>
  <c r="D250" i="2" s="1"/>
  <c r="E250" i="2" s="1"/>
  <c r="C249" i="2"/>
  <c r="D249" i="2" s="1"/>
  <c r="E249" i="2" s="1"/>
  <c r="C248" i="2"/>
  <c r="C247" i="2"/>
  <c r="C246" i="2"/>
  <c r="D246" i="2" s="1"/>
  <c r="E246" i="2" s="1"/>
  <c r="C245" i="2"/>
  <c r="D245" i="2" s="1"/>
  <c r="E245" i="2" s="1"/>
  <c r="K249" i="2" a="1"/>
  <c r="K249" i="2"/>
  <c r="K248" i="2" a="1"/>
  <c r="K248" i="2" s="1"/>
  <c r="H244" i="2"/>
  <c r="G244" i="2"/>
  <c r="E244" i="2"/>
  <c r="D244" i="2"/>
  <c r="K277" i="2" l="1"/>
  <c r="G28" i="5"/>
  <c r="F28" i="5"/>
  <c r="E28" i="5"/>
  <c r="D28" i="5"/>
  <c r="C28" i="5"/>
  <c r="F224" i="4"/>
  <c r="G224" i="4" s="1"/>
  <c r="H224" i="4" s="1"/>
  <c r="F223" i="4"/>
  <c r="G223" i="4" s="1"/>
  <c r="H223" i="4" s="1"/>
  <c r="K224" i="4" a="1"/>
  <c r="K224" i="4" s="1"/>
  <c r="K223" i="4" a="1"/>
  <c r="K223" i="4" s="1"/>
  <c r="H219" i="4"/>
  <c r="G219" i="4"/>
  <c r="F225" i="4"/>
  <c r="G225" i="4" s="1"/>
  <c r="H225" i="4" s="1"/>
  <c r="F222" i="4"/>
  <c r="G222" i="4" s="1"/>
  <c r="H222" i="4" s="1"/>
  <c r="F221" i="4"/>
  <c r="G221" i="4" s="1"/>
  <c r="H221" i="4" s="1"/>
  <c r="F220" i="4"/>
  <c r="G220" i="4" s="1"/>
  <c r="H220" i="4" s="1"/>
  <c r="E219" i="4"/>
  <c r="D219" i="4"/>
  <c r="C225" i="4"/>
  <c r="D225" i="4" s="1"/>
  <c r="E225" i="4" s="1"/>
  <c r="C224" i="4"/>
  <c r="D224" i="4" s="1"/>
  <c r="E224" i="4" s="1"/>
  <c r="C223" i="4"/>
  <c r="D223" i="4" s="1"/>
  <c r="E223" i="4" s="1"/>
  <c r="C222" i="4"/>
  <c r="D222" i="4" s="1"/>
  <c r="E222" i="4" s="1"/>
  <c r="C221" i="4"/>
  <c r="D221" i="4" s="1"/>
  <c r="E221" i="4" s="1"/>
  <c r="C220" i="4"/>
  <c r="D220" i="4" s="1"/>
  <c r="E220" i="4" s="1"/>
  <c r="G17" i="5"/>
  <c r="F17" i="5"/>
  <c r="E17" i="5"/>
  <c r="D17" i="5"/>
  <c r="C17" i="5"/>
  <c r="K227" i="3"/>
  <c r="K226" i="3"/>
  <c r="K225" i="3" a="1"/>
  <c r="K225" i="3" s="1"/>
  <c r="K224" i="3" a="1"/>
  <c r="K224" i="3" s="1"/>
  <c r="F226" i="3"/>
  <c r="G226" i="3" s="1"/>
  <c r="H226" i="3" s="1"/>
  <c r="F225" i="3"/>
  <c r="G225" i="3" s="1"/>
  <c r="H225" i="3" s="1"/>
  <c r="F224" i="3"/>
  <c r="G224" i="3" s="1"/>
  <c r="H224" i="3" s="1"/>
  <c r="F223" i="3"/>
  <c r="G223" i="3" s="1"/>
  <c r="H223" i="3" s="1"/>
  <c r="F222" i="3"/>
  <c r="G222" i="3" s="1"/>
  <c r="H222" i="3" s="1"/>
  <c r="F221" i="3"/>
  <c r="G221" i="3" s="1"/>
  <c r="H221" i="3" s="1"/>
  <c r="C226" i="3"/>
  <c r="D226" i="3" s="1"/>
  <c r="E226" i="3" s="1"/>
  <c r="C225" i="3"/>
  <c r="D225" i="3" s="1"/>
  <c r="E225" i="3" s="1"/>
  <c r="C224" i="3"/>
  <c r="D224" i="3" s="1"/>
  <c r="E224" i="3" s="1"/>
  <c r="C223" i="3"/>
  <c r="D223" i="3" s="1"/>
  <c r="E223" i="3" s="1"/>
  <c r="C222" i="3"/>
  <c r="D222" i="3" s="1"/>
  <c r="E222" i="3" s="1"/>
  <c r="C221" i="3"/>
  <c r="D221" i="3" s="1"/>
  <c r="E221" i="3" s="1"/>
  <c r="H220" i="3"/>
  <c r="G220" i="3"/>
  <c r="E220" i="3"/>
  <c r="D220" i="3"/>
  <c r="E6" i="5"/>
  <c r="D6" i="5"/>
  <c r="C6" i="5"/>
  <c r="K224" i="2" a="1"/>
  <c r="K224" i="2" s="1"/>
  <c r="K223" i="2" a="1"/>
  <c r="K223" i="2" s="1"/>
  <c r="F225" i="2"/>
  <c r="G225" i="2" s="1"/>
  <c r="H225" i="2" s="1"/>
  <c r="F223" i="2"/>
  <c r="G223" i="2" s="1"/>
  <c r="H223" i="2" s="1"/>
  <c r="F224" i="2"/>
  <c r="G224" i="2" s="1"/>
  <c r="H224" i="2" s="1"/>
  <c r="F222" i="2"/>
  <c r="G222" i="2" s="1"/>
  <c r="H222" i="2" s="1"/>
  <c r="F221" i="2"/>
  <c r="G221" i="2" s="1"/>
  <c r="H221" i="2" s="1"/>
  <c r="C225" i="2"/>
  <c r="D225" i="2" s="1"/>
  <c r="E225" i="2" s="1"/>
  <c r="C224" i="2"/>
  <c r="D224" i="2" s="1"/>
  <c r="E224" i="2" s="1"/>
  <c r="C223" i="2"/>
  <c r="D223" i="2" s="1"/>
  <c r="E223" i="2" s="1"/>
  <c r="C222" i="2"/>
  <c r="D222" i="2" s="1"/>
  <c r="E222" i="2" s="1"/>
  <c r="C221" i="2"/>
  <c r="D221" i="2" s="1"/>
  <c r="E221" i="2" s="1"/>
  <c r="C220" i="2"/>
  <c r="D220" i="2" s="1"/>
  <c r="E220" i="2" s="1"/>
  <c r="F220" i="2"/>
  <c r="G220" i="2" s="1"/>
  <c r="H220" i="2" s="1"/>
  <c r="K218" i="2"/>
  <c r="K222" i="4" l="1"/>
  <c r="K226" i="4" s="1"/>
  <c r="K221" i="4"/>
  <c r="K225" i="4" s="1"/>
  <c r="K223" i="3"/>
  <c r="K222" i="3"/>
  <c r="K222" i="2"/>
  <c r="K226" i="2" s="1"/>
  <c r="G6" i="5" s="1"/>
  <c r="K221" i="2"/>
  <c r="K225" i="2" s="1"/>
  <c r="F6" i="5" s="1"/>
  <c r="H6" i="5" l="1"/>
  <c r="G33" i="5" l="1"/>
  <c r="F33" i="5"/>
  <c r="H33" i="5" s="1"/>
  <c r="E33" i="5"/>
  <c r="D33" i="5"/>
  <c r="C33" i="5"/>
  <c r="G32" i="5"/>
  <c r="F32" i="5"/>
  <c r="H32" i="5" s="1"/>
  <c r="E32" i="5"/>
  <c r="D32" i="5"/>
  <c r="C32" i="5"/>
  <c r="G30" i="5"/>
  <c r="F30" i="5"/>
  <c r="E30" i="5"/>
  <c r="D30" i="5"/>
  <c r="C30" i="5"/>
  <c r="G29" i="5"/>
  <c r="F29" i="5"/>
  <c r="E29" i="5"/>
  <c r="D29" i="5"/>
  <c r="C29" i="5"/>
  <c r="G27" i="5"/>
  <c r="F27" i="5"/>
  <c r="H27" i="5" s="1"/>
  <c r="E27" i="5"/>
  <c r="D27" i="5"/>
  <c r="C27" i="5"/>
  <c r="G26" i="5"/>
  <c r="F26" i="5"/>
  <c r="E26" i="5"/>
  <c r="D26" i="5"/>
  <c r="C26" i="5"/>
  <c r="G25" i="5"/>
  <c r="F25" i="5"/>
  <c r="E25" i="5"/>
  <c r="D25" i="5"/>
  <c r="C25" i="5"/>
  <c r="H28" i="5"/>
  <c r="H31" i="5"/>
  <c r="H34" i="5"/>
  <c r="G24" i="5"/>
  <c r="F24" i="5"/>
  <c r="H24" i="5" s="1"/>
  <c r="E24" i="5"/>
  <c r="D24" i="5"/>
  <c r="C24" i="5"/>
  <c r="G22" i="5"/>
  <c r="F22" i="5"/>
  <c r="H22" i="5" s="1"/>
  <c r="E22" i="5"/>
  <c r="D22" i="5"/>
  <c r="C22" i="5"/>
  <c r="H21" i="5"/>
  <c r="G21" i="5"/>
  <c r="F21" i="5"/>
  <c r="E21" i="5"/>
  <c r="D21" i="5"/>
  <c r="C21" i="5"/>
  <c r="G19" i="5"/>
  <c r="F19" i="5"/>
  <c r="H19" i="5" s="1"/>
  <c r="E19" i="5"/>
  <c r="D19" i="5"/>
  <c r="C19" i="5"/>
  <c r="G18" i="5"/>
  <c r="F18" i="5"/>
  <c r="E18" i="5"/>
  <c r="D18" i="5"/>
  <c r="C18" i="5"/>
  <c r="G16" i="5"/>
  <c r="F16" i="5"/>
  <c r="H16" i="5" s="1"/>
  <c r="E16" i="5"/>
  <c r="D16" i="5"/>
  <c r="C16" i="5"/>
  <c r="G15" i="5"/>
  <c r="F15" i="5"/>
  <c r="E15" i="5"/>
  <c r="D15" i="5"/>
  <c r="C15" i="5"/>
  <c r="G14" i="5"/>
  <c r="F14" i="5"/>
  <c r="E14" i="5"/>
  <c r="D14" i="5"/>
  <c r="C14" i="5"/>
  <c r="H12" i="5"/>
  <c r="H13" i="5"/>
  <c r="H14" i="5"/>
  <c r="H15" i="5"/>
  <c r="H17" i="5"/>
  <c r="H20" i="5"/>
  <c r="H23" i="5"/>
  <c r="G13" i="5"/>
  <c r="F13" i="5"/>
  <c r="E13" i="5"/>
  <c r="D13" i="5"/>
  <c r="C13" i="5"/>
  <c r="G11" i="5"/>
  <c r="F11" i="5"/>
  <c r="H11" i="5" s="1"/>
  <c r="E11" i="5"/>
  <c r="D11" i="5"/>
  <c r="C11" i="5"/>
  <c r="G10" i="5"/>
  <c r="F10" i="5"/>
  <c r="H10" i="5" s="1"/>
  <c r="E10" i="5"/>
  <c r="D10" i="5"/>
  <c r="C10" i="5"/>
  <c r="G8" i="5"/>
  <c r="F8" i="5"/>
  <c r="E8" i="5"/>
  <c r="D8" i="5"/>
  <c r="C8" i="5"/>
  <c r="G7" i="5"/>
  <c r="F7" i="5"/>
  <c r="E7" i="5"/>
  <c r="D7" i="5"/>
  <c r="C7" i="5"/>
  <c r="G5" i="5"/>
  <c r="F5" i="5"/>
  <c r="E5" i="5"/>
  <c r="D5" i="5"/>
  <c r="C5" i="5"/>
  <c r="G4" i="5"/>
  <c r="F4" i="5"/>
  <c r="E4" i="5"/>
  <c r="D4" i="5"/>
  <c r="C4" i="5"/>
  <c r="G3" i="5"/>
  <c r="F3" i="5"/>
  <c r="E3" i="5"/>
  <c r="D3" i="5"/>
  <c r="C3" i="5"/>
  <c r="H30" i="5" l="1"/>
  <c r="H29" i="5"/>
  <c r="H26" i="5"/>
  <c r="H25" i="5"/>
  <c r="H18" i="5"/>
  <c r="G2" i="5"/>
  <c r="F2" i="5"/>
  <c r="E2" i="5"/>
  <c r="D2" i="5"/>
  <c r="C2" i="5"/>
  <c r="K196" i="4" a="1"/>
  <c r="K196" i="4" s="1"/>
  <c r="K195" i="4" a="1"/>
  <c r="K195" i="4" s="1"/>
  <c r="F197" i="4"/>
  <c r="G197" i="4" s="1"/>
  <c r="H197" i="4" s="1"/>
  <c r="F196" i="4"/>
  <c r="G196" i="4" s="1"/>
  <c r="H196" i="4" s="1"/>
  <c r="F195" i="4"/>
  <c r="G195" i="4" s="1"/>
  <c r="H195" i="4" s="1"/>
  <c r="F194" i="4"/>
  <c r="G194" i="4" s="1"/>
  <c r="H194" i="4" s="1"/>
  <c r="F193" i="4"/>
  <c r="G193" i="4" s="1"/>
  <c r="H193" i="4" s="1"/>
  <c r="F192" i="4"/>
  <c r="G192" i="4" s="1"/>
  <c r="H192" i="4" s="1"/>
  <c r="C197" i="4"/>
  <c r="D197" i="4" s="1"/>
  <c r="E197" i="4" s="1"/>
  <c r="C196" i="4"/>
  <c r="D196" i="4" s="1"/>
  <c r="E196" i="4" s="1"/>
  <c r="C195" i="4"/>
  <c r="D195" i="4" s="1"/>
  <c r="E195" i="4" s="1"/>
  <c r="C194" i="4"/>
  <c r="D194" i="4" s="1"/>
  <c r="E194" i="4" s="1"/>
  <c r="C193" i="4"/>
  <c r="D193" i="4" s="1"/>
  <c r="E193" i="4" s="1"/>
  <c r="C192" i="4"/>
  <c r="D192" i="4" s="1"/>
  <c r="E192" i="4" s="1"/>
  <c r="K198" i="3" a="1"/>
  <c r="K198" i="3" s="1"/>
  <c r="K197" i="3" a="1"/>
  <c r="K197" i="3" s="1"/>
  <c r="F199" i="3"/>
  <c r="G199" i="3" s="1"/>
  <c r="H199" i="3" s="1"/>
  <c r="F198" i="3"/>
  <c r="G198" i="3" s="1"/>
  <c r="H198" i="3" s="1"/>
  <c r="F197" i="3"/>
  <c r="G197" i="3" s="1"/>
  <c r="H197" i="3" s="1"/>
  <c r="F196" i="3"/>
  <c r="G196" i="3" s="1"/>
  <c r="H196" i="3" s="1"/>
  <c r="F195" i="3"/>
  <c r="G195" i="3" s="1"/>
  <c r="H195" i="3" s="1"/>
  <c r="F194" i="3"/>
  <c r="G194" i="3" s="1"/>
  <c r="H194" i="3" s="1"/>
  <c r="C199" i="3"/>
  <c r="D199" i="3" s="1"/>
  <c r="E199" i="3" s="1"/>
  <c r="C198" i="3"/>
  <c r="D198" i="3" s="1"/>
  <c r="E198" i="3" s="1"/>
  <c r="C197" i="3"/>
  <c r="D197" i="3" s="1"/>
  <c r="E197" i="3" s="1"/>
  <c r="C196" i="3"/>
  <c r="D196" i="3" s="1"/>
  <c r="E196" i="3" s="1"/>
  <c r="C195" i="3"/>
  <c r="D195" i="3" s="1"/>
  <c r="E195" i="3" s="1"/>
  <c r="C194" i="3"/>
  <c r="D194" i="3" s="1"/>
  <c r="E194" i="3" s="1"/>
  <c r="K197" i="2" a="1"/>
  <c r="K197" i="2" s="1"/>
  <c r="K196" i="2" a="1"/>
  <c r="K196" i="2" s="1"/>
  <c r="F198" i="2"/>
  <c r="G198" i="2" s="1"/>
  <c r="H198" i="2" s="1"/>
  <c r="F197" i="2"/>
  <c r="G197" i="2" s="1"/>
  <c r="H197" i="2" s="1"/>
  <c r="F196" i="2"/>
  <c r="G196" i="2" s="1"/>
  <c r="H196" i="2" s="1"/>
  <c r="F195" i="2"/>
  <c r="G195" i="2" s="1"/>
  <c r="H195" i="2" s="1"/>
  <c r="F194" i="2"/>
  <c r="G194" i="2" s="1"/>
  <c r="H194" i="2" s="1"/>
  <c r="F193" i="2"/>
  <c r="G193" i="2" s="1"/>
  <c r="H193" i="2" s="1"/>
  <c r="C198" i="2"/>
  <c r="D198" i="2" s="1"/>
  <c r="E198" i="2" s="1"/>
  <c r="C197" i="2"/>
  <c r="D197" i="2" s="1"/>
  <c r="E197" i="2" s="1"/>
  <c r="C196" i="2"/>
  <c r="D196" i="2" s="1"/>
  <c r="E196" i="2" s="1"/>
  <c r="C195" i="2"/>
  <c r="D195" i="2" s="1"/>
  <c r="E195" i="2" s="1"/>
  <c r="C194" i="2"/>
  <c r="D194" i="2" s="1"/>
  <c r="E194" i="2" s="1"/>
  <c r="C193" i="2"/>
  <c r="D193" i="2" s="1"/>
  <c r="E193" i="2" s="1"/>
  <c r="K169" i="4" a="1"/>
  <c r="K169" i="4" s="1"/>
  <c r="K168" i="4" a="1"/>
  <c r="K168" i="4" s="1"/>
  <c r="F170" i="4"/>
  <c r="G170" i="4" s="1"/>
  <c r="H170" i="4" s="1"/>
  <c r="F169" i="4"/>
  <c r="G169" i="4" s="1"/>
  <c r="H169" i="4" s="1"/>
  <c r="F168" i="4"/>
  <c r="G168" i="4" s="1"/>
  <c r="H168" i="4" s="1"/>
  <c r="F167" i="4"/>
  <c r="G167" i="4" s="1"/>
  <c r="H167" i="4" s="1"/>
  <c r="F166" i="4"/>
  <c r="G166" i="4" s="1"/>
  <c r="H166" i="4" s="1"/>
  <c r="F165" i="4"/>
  <c r="G165" i="4" s="1"/>
  <c r="H165" i="4" s="1"/>
  <c r="D167" i="4"/>
  <c r="E167" i="4" s="1"/>
  <c r="C166" i="4"/>
  <c r="D166" i="4" s="1"/>
  <c r="E166" i="4" s="1"/>
  <c r="C170" i="4"/>
  <c r="D170" i="4" s="1"/>
  <c r="E170" i="4" s="1"/>
  <c r="C169" i="4"/>
  <c r="D169" i="4" s="1"/>
  <c r="E169" i="4" s="1"/>
  <c r="C168" i="4"/>
  <c r="D168" i="4" s="1"/>
  <c r="E168" i="4" s="1"/>
  <c r="C167" i="4"/>
  <c r="C165" i="4"/>
  <c r="D165" i="4" s="1"/>
  <c r="E165" i="4" s="1"/>
  <c r="K171" i="3" a="1"/>
  <c r="K171" i="3"/>
  <c r="K170" i="3" a="1"/>
  <c r="K170" i="3" s="1"/>
  <c r="F172" i="3"/>
  <c r="G172" i="3" s="1"/>
  <c r="H172" i="3" s="1"/>
  <c r="F171" i="3"/>
  <c r="G171" i="3" s="1"/>
  <c r="H171" i="3" s="1"/>
  <c r="F170" i="3"/>
  <c r="G170" i="3" s="1"/>
  <c r="H170" i="3" s="1"/>
  <c r="F169" i="3"/>
  <c r="G169" i="3" s="1"/>
  <c r="H169" i="3" s="1"/>
  <c r="F168" i="3"/>
  <c r="G168" i="3" s="1"/>
  <c r="H168" i="3" s="1"/>
  <c r="F167" i="3"/>
  <c r="G167" i="3" s="1"/>
  <c r="H167" i="3" s="1"/>
  <c r="D168" i="3"/>
  <c r="E168" i="3" s="1"/>
  <c r="C172" i="3"/>
  <c r="D172" i="3" s="1"/>
  <c r="E172" i="3" s="1"/>
  <c r="C171" i="3"/>
  <c r="D171" i="3" s="1"/>
  <c r="E171" i="3" s="1"/>
  <c r="C170" i="3"/>
  <c r="D170" i="3" s="1"/>
  <c r="E170" i="3" s="1"/>
  <c r="C169" i="3"/>
  <c r="D169" i="3" s="1"/>
  <c r="E169" i="3" s="1"/>
  <c r="C168" i="3"/>
  <c r="C167" i="3"/>
  <c r="D167" i="3" s="1"/>
  <c r="E167" i="3" s="1"/>
  <c r="K170" i="2" a="1"/>
  <c r="K170" i="2" s="1"/>
  <c r="K169" i="2" a="1"/>
  <c r="K169" i="2" s="1"/>
  <c r="F171" i="2"/>
  <c r="G171" i="2" s="1"/>
  <c r="H171" i="2" s="1"/>
  <c r="F170" i="2"/>
  <c r="G170" i="2" s="1"/>
  <c r="H170" i="2" s="1"/>
  <c r="F169" i="2"/>
  <c r="G169" i="2" s="1"/>
  <c r="H169" i="2" s="1"/>
  <c r="F168" i="2"/>
  <c r="G168" i="2" s="1"/>
  <c r="H168" i="2" s="1"/>
  <c r="F167" i="2"/>
  <c r="G167" i="2" s="1"/>
  <c r="H167" i="2" s="1"/>
  <c r="F166" i="2"/>
  <c r="G166" i="2" s="1"/>
  <c r="H166" i="2" s="1"/>
  <c r="D167" i="2"/>
  <c r="E167" i="2" s="1"/>
  <c r="D170" i="2"/>
  <c r="E170" i="2" s="1"/>
  <c r="C171" i="2"/>
  <c r="D171" i="2" s="1"/>
  <c r="E171" i="2" s="1"/>
  <c r="C170" i="2"/>
  <c r="C169" i="2"/>
  <c r="D169" i="2" s="1"/>
  <c r="E169" i="2" s="1"/>
  <c r="C168" i="2"/>
  <c r="D168" i="2" s="1"/>
  <c r="E168" i="2" s="1"/>
  <c r="C167" i="2"/>
  <c r="C166" i="2"/>
  <c r="D166" i="2" s="1"/>
  <c r="E166" i="2" s="1"/>
  <c r="K196" i="3" l="1"/>
  <c r="K200" i="3" s="1"/>
  <c r="K194" i="4"/>
  <c r="K198" i="4" s="1"/>
  <c r="K193" i="4"/>
  <c r="K197" i="4" s="1"/>
  <c r="K195" i="3"/>
  <c r="K199" i="3" s="1"/>
  <c r="K195" i="2"/>
  <c r="K199" i="2" s="1"/>
  <c r="K194" i="2"/>
  <c r="K198" i="2" s="1"/>
  <c r="K167" i="4"/>
  <c r="K171" i="4" s="1"/>
  <c r="K166" i="4"/>
  <c r="K170" i="4" s="1"/>
  <c r="K169" i="3"/>
  <c r="K173" i="3" s="1"/>
  <c r="K168" i="3"/>
  <c r="K172" i="3" s="1"/>
  <c r="K168" i="2"/>
  <c r="K172" i="2" s="1"/>
  <c r="K167" i="2"/>
  <c r="K171" i="2" s="1"/>
  <c r="C30" i="2" l="1"/>
  <c r="C9" i="3"/>
  <c r="C8" i="3"/>
  <c r="C7" i="3"/>
  <c r="C6" i="3"/>
  <c r="C5" i="3"/>
  <c r="C4" i="3"/>
  <c r="C36" i="3"/>
  <c r="C35" i="3"/>
  <c r="C34" i="3"/>
  <c r="C33" i="3"/>
  <c r="C32" i="3"/>
  <c r="C31" i="3"/>
  <c r="C63" i="3"/>
  <c r="C62" i="3"/>
  <c r="C61" i="3"/>
  <c r="C60" i="3"/>
  <c r="C59" i="3"/>
  <c r="C58" i="3"/>
  <c r="C90" i="3"/>
  <c r="C89" i="3"/>
  <c r="C88" i="3"/>
  <c r="C87" i="3"/>
  <c r="C86" i="3"/>
  <c r="C85" i="3"/>
  <c r="C88" i="4"/>
  <c r="C87" i="4"/>
  <c r="C86" i="4"/>
  <c r="C85" i="4"/>
  <c r="C84" i="4"/>
  <c r="C83" i="4"/>
  <c r="C62" i="4"/>
  <c r="C61" i="4"/>
  <c r="C60" i="4"/>
  <c r="C59" i="4"/>
  <c r="C58" i="4"/>
  <c r="C57" i="4"/>
  <c r="C35" i="4"/>
  <c r="C34" i="4"/>
  <c r="C33" i="4"/>
  <c r="C32" i="4"/>
  <c r="C31" i="4"/>
  <c r="C30" i="4"/>
  <c r="C9" i="4"/>
  <c r="C8" i="4"/>
  <c r="C7" i="4"/>
  <c r="C6" i="4"/>
  <c r="C5" i="4"/>
  <c r="C4" i="4"/>
  <c r="K8" i="4" a="1"/>
  <c r="K8" i="4" s="1"/>
  <c r="K7" i="4" a="1"/>
  <c r="K7" i="4" s="1"/>
  <c r="K34" i="4" a="1"/>
  <c r="K34" i="4" s="1"/>
  <c r="K33" i="4" a="1"/>
  <c r="K33" i="4" s="1"/>
  <c r="K62" i="4" a="1"/>
  <c r="K62" i="4" s="1"/>
  <c r="K61" i="4" a="1"/>
  <c r="K61" i="4" s="1"/>
  <c r="K87" i="4" a="1"/>
  <c r="K87" i="4" s="1"/>
  <c r="K86" i="4" a="1"/>
  <c r="K86" i="4" s="1"/>
  <c r="K114" i="4" a="1"/>
  <c r="K114" i="4" s="1"/>
  <c r="K113" i="4" a="1"/>
  <c r="K113" i="4" s="1"/>
  <c r="K141" i="4" a="1"/>
  <c r="K141" i="4" s="1"/>
  <c r="K142" i="4" a="1"/>
  <c r="K142" i="4" s="1"/>
  <c r="K144" i="3" a="1"/>
  <c r="K144" i="3" s="1"/>
  <c r="K143" i="3" a="1"/>
  <c r="K143" i="3" s="1"/>
  <c r="K117" i="3" a="1"/>
  <c r="K117" i="3" s="1"/>
  <c r="K116" i="3" a="1"/>
  <c r="K116" i="3" s="1"/>
  <c r="K89" i="3" a="1"/>
  <c r="K89" i="3" s="1"/>
  <c r="K88" i="3" a="1"/>
  <c r="K88" i="3" s="1"/>
  <c r="K62" i="3" a="1"/>
  <c r="K62" i="3" s="1"/>
  <c r="K61" i="3" a="1"/>
  <c r="K61" i="3" s="1"/>
  <c r="K35" i="3" a="1"/>
  <c r="K35" i="3" s="1"/>
  <c r="K34" i="3" a="1"/>
  <c r="K34" i="3" s="1"/>
  <c r="K8" i="3" a="1"/>
  <c r="K8" i="3" s="1"/>
  <c r="K7" i="3" a="1"/>
  <c r="K7" i="3" s="1"/>
  <c r="K8" i="2" a="1"/>
  <c r="K8" i="2" s="1"/>
  <c r="K7" i="2" a="1"/>
  <c r="K7" i="2" s="1"/>
  <c r="K34" i="2" a="1"/>
  <c r="K34" i="2" s="1"/>
  <c r="K33" i="2" a="1"/>
  <c r="K33" i="2" s="1"/>
  <c r="K61" i="2" a="1"/>
  <c r="K61" i="2" s="1"/>
  <c r="K60" i="2" a="1"/>
  <c r="K60" i="2" s="1"/>
  <c r="K88" i="2" a="1"/>
  <c r="K88" i="2" s="1"/>
  <c r="K87" i="2" a="1"/>
  <c r="K87" i="2" s="1"/>
  <c r="K142" i="2" a="1"/>
  <c r="K142" i="2" s="1"/>
  <c r="K141" i="2" a="1"/>
  <c r="K141" i="2" s="1"/>
  <c r="K115" i="2" a="1"/>
  <c r="K115" i="2" s="1"/>
  <c r="K114" i="2" a="1"/>
  <c r="K114" i="2" s="1"/>
  <c r="C89" i="2"/>
  <c r="C88" i="2"/>
  <c r="C87" i="2"/>
  <c r="C86" i="2"/>
  <c r="C85" i="2"/>
  <c r="C84" i="2"/>
  <c r="C62" i="2"/>
  <c r="C61" i="2"/>
  <c r="C60" i="2"/>
  <c r="C59" i="2"/>
  <c r="C58" i="2"/>
  <c r="C57" i="2"/>
  <c r="C35" i="2"/>
  <c r="C34" i="2"/>
  <c r="C33" i="2"/>
  <c r="C32" i="2"/>
  <c r="C31" i="2"/>
  <c r="C9" i="2"/>
  <c r="C8" i="2"/>
  <c r="C7" i="2"/>
  <c r="C6" i="2"/>
  <c r="C5" i="2"/>
  <c r="C4" i="2"/>
  <c r="F143" i="4"/>
  <c r="G143" i="4" s="1"/>
  <c r="H143" i="4" s="1"/>
  <c r="F142" i="4"/>
  <c r="G142" i="4" s="1"/>
  <c r="H142" i="4" s="1"/>
  <c r="F141" i="4"/>
  <c r="G141" i="4" s="1"/>
  <c r="H141" i="4" s="1"/>
  <c r="F140" i="4"/>
  <c r="G140" i="4" s="1"/>
  <c r="H140" i="4" s="1"/>
  <c r="F139" i="4"/>
  <c r="G139" i="4" s="1"/>
  <c r="H139" i="4" s="1"/>
  <c r="F138" i="4"/>
  <c r="G138" i="4" s="1"/>
  <c r="H138" i="4" s="1"/>
  <c r="C143" i="4"/>
  <c r="D143" i="4" s="1"/>
  <c r="E143" i="4" s="1"/>
  <c r="C142" i="4"/>
  <c r="D142" i="4" s="1"/>
  <c r="E142" i="4" s="1"/>
  <c r="C141" i="4"/>
  <c r="D141" i="4" s="1"/>
  <c r="E141" i="4" s="1"/>
  <c r="C140" i="4"/>
  <c r="D140" i="4" s="1"/>
  <c r="E140" i="4" s="1"/>
  <c r="C139" i="4"/>
  <c r="D139" i="4" s="1"/>
  <c r="E139" i="4" s="1"/>
  <c r="C138" i="4"/>
  <c r="D138" i="4" s="1"/>
  <c r="E138" i="4" s="1"/>
  <c r="F145" i="3"/>
  <c r="G145" i="3" s="1"/>
  <c r="H145" i="3" s="1"/>
  <c r="F144" i="3"/>
  <c r="G144" i="3" s="1"/>
  <c r="H144" i="3" s="1"/>
  <c r="F143" i="3"/>
  <c r="G143" i="3" s="1"/>
  <c r="H143" i="3" s="1"/>
  <c r="F142" i="3"/>
  <c r="G142" i="3" s="1"/>
  <c r="H142" i="3" s="1"/>
  <c r="F141" i="3"/>
  <c r="G141" i="3" s="1"/>
  <c r="H141" i="3" s="1"/>
  <c r="F140" i="3"/>
  <c r="G140" i="3" s="1"/>
  <c r="H140" i="3" s="1"/>
  <c r="C145" i="3"/>
  <c r="D145" i="3" s="1"/>
  <c r="E145" i="3" s="1"/>
  <c r="C144" i="3"/>
  <c r="D144" i="3" s="1"/>
  <c r="E144" i="3" s="1"/>
  <c r="C143" i="3"/>
  <c r="D143" i="3" s="1"/>
  <c r="E143" i="3" s="1"/>
  <c r="C142" i="3"/>
  <c r="D142" i="3" s="1"/>
  <c r="E142" i="3" s="1"/>
  <c r="C141" i="3"/>
  <c r="D141" i="3" s="1"/>
  <c r="E141" i="3" s="1"/>
  <c r="C140" i="3"/>
  <c r="D140" i="3" s="1"/>
  <c r="E140" i="3" s="1"/>
  <c r="F143" i="2"/>
  <c r="G143" i="2" s="1"/>
  <c r="H143" i="2" s="1"/>
  <c r="F142" i="2"/>
  <c r="G142" i="2" s="1"/>
  <c r="H142" i="2" s="1"/>
  <c r="F141" i="2"/>
  <c r="G141" i="2" s="1"/>
  <c r="H141" i="2" s="1"/>
  <c r="F140" i="2"/>
  <c r="G140" i="2" s="1"/>
  <c r="H140" i="2" s="1"/>
  <c r="F139" i="2"/>
  <c r="G139" i="2" s="1"/>
  <c r="H139" i="2" s="1"/>
  <c r="F138" i="2"/>
  <c r="G138" i="2" s="1"/>
  <c r="H138" i="2" s="1"/>
  <c r="C143" i="2"/>
  <c r="D143" i="2" s="1"/>
  <c r="E143" i="2" s="1"/>
  <c r="C142" i="2"/>
  <c r="D142" i="2" s="1"/>
  <c r="E142" i="2" s="1"/>
  <c r="C141" i="2"/>
  <c r="D141" i="2" s="1"/>
  <c r="E141" i="2" s="1"/>
  <c r="C140" i="2"/>
  <c r="D140" i="2" s="1"/>
  <c r="E140" i="2" s="1"/>
  <c r="C139" i="2"/>
  <c r="D139" i="2" s="1"/>
  <c r="E139" i="2" s="1"/>
  <c r="C138" i="2"/>
  <c r="D138" i="2" s="1"/>
  <c r="E138" i="2" s="1"/>
  <c r="F115" i="4"/>
  <c r="G115" i="4" s="1"/>
  <c r="H115" i="4" s="1"/>
  <c r="F114" i="4"/>
  <c r="G114" i="4" s="1"/>
  <c r="H114" i="4" s="1"/>
  <c r="F113" i="4"/>
  <c r="G113" i="4" s="1"/>
  <c r="H113" i="4" s="1"/>
  <c r="F112" i="4"/>
  <c r="G112" i="4" s="1"/>
  <c r="H112" i="4" s="1"/>
  <c r="F111" i="4"/>
  <c r="G111" i="4" s="1"/>
  <c r="H111" i="4" s="1"/>
  <c r="F110" i="4"/>
  <c r="G110" i="4" s="1"/>
  <c r="H110" i="4" s="1"/>
  <c r="C115" i="4"/>
  <c r="D115" i="4" s="1"/>
  <c r="E115" i="4" s="1"/>
  <c r="C114" i="4"/>
  <c r="D114" i="4" s="1"/>
  <c r="E114" i="4" s="1"/>
  <c r="C113" i="4"/>
  <c r="D113" i="4" s="1"/>
  <c r="E113" i="4" s="1"/>
  <c r="C112" i="4"/>
  <c r="D112" i="4" s="1"/>
  <c r="E112" i="4" s="1"/>
  <c r="C111" i="4"/>
  <c r="D111" i="4" s="1"/>
  <c r="E111" i="4" s="1"/>
  <c r="C110" i="4"/>
  <c r="D110" i="4" s="1"/>
  <c r="E110" i="4" s="1"/>
  <c r="F118" i="3"/>
  <c r="G118" i="3" s="1"/>
  <c r="H118" i="3" s="1"/>
  <c r="F117" i="3"/>
  <c r="G117" i="3" s="1"/>
  <c r="H117" i="3" s="1"/>
  <c r="F116" i="3"/>
  <c r="G116" i="3" s="1"/>
  <c r="H116" i="3" s="1"/>
  <c r="F115" i="3"/>
  <c r="G115" i="3" s="1"/>
  <c r="H115" i="3" s="1"/>
  <c r="F114" i="3"/>
  <c r="G114" i="3" s="1"/>
  <c r="H114" i="3" s="1"/>
  <c r="F113" i="3"/>
  <c r="G113" i="3" s="1"/>
  <c r="H113" i="3" s="1"/>
  <c r="C118" i="3"/>
  <c r="D118" i="3" s="1"/>
  <c r="E118" i="3" s="1"/>
  <c r="C117" i="3"/>
  <c r="D117" i="3" s="1"/>
  <c r="E117" i="3" s="1"/>
  <c r="C116" i="3"/>
  <c r="D116" i="3" s="1"/>
  <c r="E116" i="3" s="1"/>
  <c r="C115" i="3"/>
  <c r="D115" i="3" s="1"/>
  <c r="E115" i="3" s="1"/>
  <c r="C114" i="3"/>
  <c r="D114" i="3" s="1"/>
  <c r="E114" i="3" s="1"/>
  <c r="C113" i="3"/>
  <c r="D113" i="3" s="1"/>
  <c r="E113" i="3" s="1"/>
  <c r="C116" i="2"/>
  <c r="D116" i="2" s="1"/>
  <c r="E116" i="2" s="1"/>
  <c r="C115" i="2"/>
  <c r="D115" i="2" s="1"/>
  <c r="E115" i="2" s="1"/>
  <c r="C114" i="2"/>
  <c r="C113" i="2"/>
  <c r="C112" i="2"/>
  <c r="D112" i="2" s="1"/>
  <c r="E112" i="2" s="1"/>
  <c r="C111" i="2"/>
  <c r="D111" i="2" s="1"/>
  <c r="E111" i="2" s="1"/>
  <c r="F116" i="2"/>
  <c r="G116" i="2" s="1"/>
  <c r="H116" i="2" s="1"/>
  <c r="F115" i="2"/>
  <c r="G115" i="2" s="1"/>
  <c r="H115" i="2" s="1"/>
  <c r="F114" i="2"/>
  <c r="G114" i="2" s="1"/>
  <c r="H114" i="2" s="1"/>
  <c r="F113" i="2"/>
  <c r="G113" i="2" s="1"/>
  <c r="H113" i="2" s="1"/>
  <c r="F112" i="2"/>
  <c r="G112" i="2" s="1"/>
  <c r="H112" i="2" s="1"/>
  <c r="F111" i="2"/>
  <c r="G111" i="2" s="1"/>
  <c r="H111" i="2" s="1"/>
  <c r="K140" i="4" l="1"/>
  <c r="K144" i="4" s="1"/>
  <c r="K139" i="4"/>
  <c r="K143" i="4" s="1"/>
  <c r="K142" i="3"/>
  <c r="K146" i="3" s="1"/>
  <c r="K141" i="3"/>
  <c r="K145" i="3" s="1"/>
  <c r="K140" i="2"/>
  <c r="K144" i="2" s="1"/>
  <c r="K139" i="2"/>
  <c r="K143" i="2" s="1"/>
  <c r="K112" i="4"/>
  <c r="K116" i="4" s="1"/>
  <c r="K111" i="4"/>
  <c r="K115" i="4" s="1"/>
  <c r="K115" i="3"/>
  <c r="K119" i="3" s="1"/>
  <c r="K114" i="3"/>
  <c r="K118" i="3" s="1"/>
  <c r="K113" i="2"/>
  <c r="K117" i="2" s="1"/>
  <c r="F88" i="4" l="1"/>
  <c r="G88" i="4" s="1"/>
  <c r="H88" i="4" s="1"/>
  <c r="F87" i="4"/>
  <c r="G87" i="4" s="1"/>
  <c r="H87" i="4" s="1"/>
  <c r="F86" i="4"/>
  <c r="G86" i="4" s="1"/>
  <c r="H86" i="4" s="1"/>
  <c r="F85" i="4"/>
  <c r="G85" i="4" s="1"/>
  <c r="H85" i="4" s="1"/>
  <c r="F84" i="4"/>
  <c r="G84" i="4" s="1"/>
  <c r="H84" i="4" s="1"/>
  <c r="F83" i="4"/>
  <c r="G83" i="4" s="1"/>
  <c r="H83" i="4" s="1"/>
  <c r="D88" i="4"/>
  <c r="E88" i="4" s="1"/>
  <c r="D87" i="4"/>
  <c r="E87" i="4" s="1"/>
  <c r="D84" i="4"/>
  <c r="E84" i="4" s="1"/>
  <c r="D83" i="4"/>
  <c r="E83" i="4" s="1"/>
  <c r="F90" i="3"/>
  <c r="G90" i="3" s="1"/>
  <c r="H90" i="3" s="1"/>
  <c r="F89" i="3"/>
  <c r="G89" i="3" s="1"/>
  <c r="H89" i="3" s="1"/>
  <c r="F88" i="3"/>
  <c r="G88" i="3" s="1"/>
  <c r="H88" i="3" s="1"/>
  <c r="F87" i="3"/>
  <c r="G87" i="3" s="1"/>
  <c r="H87" i="3" s="1"/>
  <c r="F86" i="3"/>
  <c r="G86" i="3" s="1"/>
  <c r="H86" i="3" s="1"/>
  <c r="F85" i="3"/>
  <c r="G85" i="3" s="1"/>
  <c r="H85" i="3" s="1"/>
  <c r="D90" i="3"/>
  <c r="E90" i="3" s="1"/>
  <c r="D89" i="3"/>
  <c r="E89" i="3" s="1"/>
  <c r="D86" i="3"/>
  <c r="E86" i="3" s="1"/>
  <c r="D85" i="3"/>
  <c r="E85" i="3" s="1"/>
  <c r="F89" i="2"/>
  <c r="G89" i="2" s="1"/>
  <c r="H89" i="2" s="1"/>
  <c r="F88" i="2"/>
  <c r="G88" i="2" s="1"/>
  <c r="H88" i="2" s="1"/>
  <c r="F87" i="2"/>
  <c r="G87" i="2" s="1"/>
  <c r="H87" i="2" s="1"/>
  <c r="F86" i="2"/>
  <c r="G86" i="2" s="1"/>
  <c r="H86" i="2" s="1"/>
  <c r="F85" i="2"/>
  <c r="G85" i="2" s="1"/>
  <c r="H85" i="2" s="1"/>
  <c r="F84" i="2"/>
  <c r="G84" i="2" s="1"/>
  <c r="H84" i="2" s="1"/>
  <c r="D85" i="2"/>
  <c r="E85" i="2" s="1"/>
  <c r="D89" i="2"/>
  <c r="E89" i="2" s="1"/>
  <c r="D88" i="2"/>
  <c r="E88" i="2" s="1"/>
  <c r="D84" i="2"/>
  <c r="E84" i="2" s="1"/>
  <c r="K85" i="4" l="1"/>
  <c r="K89" i="4" s="1"/>
  <c r="K87" i="3"/>
  <c r="K91" i="3" s="1"/>
  <c r="K86" i="2"/>
  <c r="K90" i="2" s="1"/>
  <c r="F62" i="4" l="1"/>
  <c r="G62" i="4" s="1"/>
  <c r="H62" i="4" s="1"/>
  <c r="F61" i="4"/>
  <c r="G61" i="4" s="1"/>
  <c r="H61" i="4" s="1"/>
  <c r="F60" i="4"/>
  <c r="G60" i="4" s="1"/>
  <c r="H60" i="4" s="1"/>
  <c r="F59" i="4"/>
  <c r="G59" i="4" s="1"/>
  <c r="H59" i="4" s="1"/>
  <c r="F58" i="4"/>
  <c r="G58" i="4" s="1"/>
  <c r="H58" i="4" s="1"/>
  <c r="F57" i="4"/>
  <c r="G57" i="4" s="1"/>
  <c r="H57" i="4" s="1"/>
  <c r="D58" i="4"/>
  <c r="E58" i="4" s="1"/>
  <c r="D62" i="4"/>
  <c r="E62" i="4" s="1"/>
  <c r="D61" i="4"/>
  <c r="E61" i="4" s="1"/>
  <c r="D57" i="4"/>
  <c r="E57" i="4" s="1"/>
  <c r="F63" i="3"/>
  <c r="G63" i="3" s="1"/>
  <c r="H63" i="3" s="1"/>
  <c r="F62" i="3"/>
  <c r="G62" i="3" s="1"/>
  <c r="H62" i="3" s="1"/>
  <c r="F61" i="3"/>
  <c r="G61" i="3" s="1"/>
  <c r="H61" i="3" s="1"/>
  <c r="F60" i="3"/>
  <c r="G60" i="3" s="1"/>
  <c r="H60" i="3" s="1"/>
  <c r="F59" i="3"/>
  <c r="G59" i="3" s="1"/>
  <c r="H59" i="3" s="1"/>
  <c r="F58" i="3"/>
  <c r="G58" i="3" s="1"/>
  <c r="H58" i="3" s="1"/>
  <c r="D63" i="3"/>
  <c r="E63" i="3" s="1"/>
  <c r="D62" i="3"/>
  <c r="E62" i="3" s="1"/>
  <c r="D59" i="3"/>
  <c r="E59" i="3" s="1"/>
  <c r="D58" i="3"/>
  <c r="E58" i="3" s="1"/>
  <c r="F62" i="2"/>
  <c r="G62" i="2" s="1"/>
  <c r="H62" i="2" s="1"/>
  <c r="F61" i="2"/>
  <c r="G61" i="2" s="1"/>
  <c r="H61" i="2" s="1"/>
  <c r="F60" i="2"/>
  <c r="G60" i="2" s="1"/>
  <c r="H60" i="2" s="1"/>
  <c r="F59" i="2"/>
  <c r="G59" i="2" s="1"/>
  <c r="H59" i="2" s="1"/>
  <c r="F58" i="2"/>
  <c r="G58" i="2" s="1"/>
  <c r="H58" i="2" s="1"/>
  <c r="F57" i="2"/>
  <c r="G57" i="2" s="1"/>
  <c r="H57" i="2" s="1"/>
  <c r="D62" i="2"/>
  <c r="E62" i="2" s="1"/>
  <c r="D61" i="2"/>
  <c r="E61" i="2" s="1"/>
  <c r="D58" i="2"/>
  <c r="E58" i="2" s="1"/>
  <c r="D57" i="2"/>
  <c r="E57" i="2" s="1"/>
  <c r="K60" i="4" l="1"/>
  <c r="K64" i="4" s="1"/>
  <c r="K60" i="3"/>
  <c r="K64" i="3" s="1"/>
  <c r="K59" i="2"/>
  <c r="K63" i="2" s="1"/>
  <c r="F35" i="4" l="1"/>
  <c r="G35" i="4" s="1"/>
  <c r="H35" i="4" s="1"/>
  <c r="F34" i="4"/>
  <c r="G34" i="4" s="1"/>
  <c r="H34" i="4" s="1"/>
  <c r="F33" i="4"/>
  <c r="G33" i="4" s="1"/>
  <c r="H33" i="4" s="1"/>
  <c r="F32" i="4"/>
  <c r="G32" i="4" s="1"/>
  <c r="H32" i="4" s="1"/>
  <c r="F31" i="4"/>
  <c r="G31" i="4" s="1"/>
  <c r="H31" i="4" s="1"/>
  <c r="F30" i="4"/>
  <c r="G30" i="4" s="1"/>
  <c r="H30" i="4" s="1"/>
  <c r="D35" i="4"/>
  <c r="E35" i="4" s="1"/>
  <c r="D34" i="4"/>
  <c r="E34" i="4" s="1"/>
  <c r="D31" i="4"/>
  <c r="E31" i="4" s="1"/>
  <c r="D30" i="4"/>
  <c r="E30" i="4" s="1"/>
  <c r="F36" i="3"/>
  <c r="G36" i="3" s="1"/>
  <c r="H36" i="3" s="1"/>
  <c r="F35" i="3"/>
  <c r="G35" i="3" s="1"/>
  <c r="H35" i="3" s="1"/>
  <c r="F34" i="3"/>
  <c r="G34" i="3" s="1"/>
  <c r="H34" i="3" s="1"/>
  <c r="F33" i="3"/>
  <c r="G33" i="3" s="1"/>
  <c r="H33" i="3" s="1"/>
  <c r="F32" i="3"/>
  <c r="G32" i="3" s="1"/>
  <c r="H32" i="3" s="1"/>
  <c r="F31" i="3"/>
  <c r="G31" i="3" s="1"/>
  <c r="H31" i="3" s="1"/>
  <c r="D36" i="3"/>
  <c r="E36" i="3" s="1"/>
  <c r="D35" i="3"/>
  <c r="E35" i="3" s="1"/>
  <c r="D32" i="3"/>
  <c r="E32" i="3" s="1"/>
  <c r="D31" i="3"/>
  <c r="E31" i="3" s="1"/>
  <c r="D35" i="2"/>
  <c r="E35" i="2" s="1"/>
  <c r="D34" i="2"/>
  <c r="E34" i="2" s="1"/>
  <c r="D30" i="2"/>
  <c r="E30" i="2" s="1"/>
  <c r="D31" i="2"/>
  <c r="E31" i="2" s="1"/>
  <c r="F35" i="2"/>
  <c r="G35" i="2" s="1"/>
  <c r="H35" i="2" s="1"/>
  <c r="F34" i="2"/>
  <c r="G34" i="2" s="1"/>
  <c r="H34" i="2" s="1"/>
  <c r="F33" i="2"/>
  <c r="G33" i="2" s="1"/>
  <c r="H33" i="2" s="1"/>
  <c r="F32" i="2"/>
  <c r="G32" i="2" s="1"/>
  <c r="H32" i="2" s="1"/>
  <c r="F31" i="2"/>
  <c r="G31" i="2" s="1"/>
  <c r="H31" i="2" s="1"/>
  <c r="F30" i="2"/>
  <c r="G30" i="2" s="1"/>
  <c r="H30" i="2" s="1"/>
  <c r="K32" i="4" l="1"/>
  <c r="K36" i="4" s="1"/>
  <c r="K33" i="3"/>
  <c r="K37" i="3" s="1"/>
  <c r="K32" i="2"/>
  <c r="K36" i="2" s="1"/>
  <c r="F9" i="4" l="1"/>
  <c r="G9" i="4" s="1"/>
  <c r="H9" i="4" s="1"/>
  <c r="F8" i="4"/>
  <c r="G8" i="4" s="1"/>
  <c r="H8" i="4" s="1"/>
  <c r="F7" i="4"/>
  <c r="G7" i="4" s="1"/>
  <c r="H7" i="4" s="1"/>
  <c r="F6" i="4"/>
  <c r="G6" i="4" s="1"/>
  <c r="H6" i="4" s="1"/>
  <c r="F5" i="4"/>
  <c r="G5" i="4" s="1"/>
  <c r="H5" i="4" s="1"/>
  <c r="F4" i="4"/>
  <c r="G4" i="4" s="1"/>
  <c r="H4" i="4" s="1"/>
  <c r="D9" i="4"/>
  <c r="E9" i="4" s="1"/>
  <c r="D8" i="4"/>
  <c r="E8" i="4" s="1"/>
  <c r="D5" i="4"/>
  <c r="E5" i="4" s="1"/>
  <c r="D4" i="4"/>
  <c r="E4" i="4" s="1"/>
  <c r="K6" i="4" l="1"/>
  <c r="K10" i="4" s="1"/>
  <c r="F9" i="3" l="1"/>
  <c r="G9" i="3" s="1"/>
  <c r="H9" i="3" s="1"/>
  <c r="F8" i="3"/>
  <c r="G8" i="3" s="1"/>
  <c r="H8" i="3" s="1"/>
  <c r="F7" i="3"/>
  <c r="G7" i="3" s="1"/>
  <c r="H7" i="3" s="1"/>
  <c r="F6" i="3"/>
  <c r="G6" i="3" s="1"/>
  <c r="H6" i="3" s="1"/>
  <c r="F5" i="3"/>
  <c r="G5" i="3" s="1"/>
  <c r="H5" i="3" s="1"/>
  <c r="F4" i="3"/>
  <c r="G4" i="3" s="1"/>
  <c r="H4" i="3" s="1"/>
  <c r="D9" i="3"/>
  <c r="E9" i="3" s="1"/>
  <c r="D8" i="3"/>
  <c r="E8" i="3" s="1"/>
  <c r="D5" i="3"/>
  <c r="E5" i="3" s="1"/>
  <c r="D4" i="3"/>
  <c r="E4" i="3" s="1"/>
  <c r="D9" i="2"/>
  <c r="E9" i="2" s="1"/>
  <c r="D8" i="2"/>
  <c r="E8" i="2" s="1"/>
  <c r="D5" i="2"/>
  <c r="E5" i="2" s="1"/>
  <c r="D4" i="2"/>
  <c r="E4" i="2" s="1"/>
  <c r="F7" i="2"/>
  <c r="G7" i="2" s="1"/>
  <c r="H7" i="2" s="1"/>
  <c r="F9" i="2"/>
  <c r="G9" i="2" s="1"/>
  <c r="H9" i="2" s="1"/>
  <c r="F8" i="2"/>
  <c r="G8" i="2" s="1"/>
  <c r="H8" i="2" s="1"/>
  <c r="F6" i="2"/>
  <c r="G6" i="2" s="1"/>
  <c r="H6" i="2" s="1"/>
  <c r="F5" i="2"/>
  <c r="G5" i="2" s="1"/>
  <c r="H5" i="2" s="1"/>
  <c r="F4" i="2"/>
  <c r="G4" i="2" s="1"/>
  <c r="H4" i="2" s="1"/>
  <c r="C61" i="1"/>
  <c r="D61" i="1" s="1"/>
  <c r="E61" i="1" s="1"/>
  <c r="C60" i="1"/>
  <c r="D60" i="1" s="1"/>
  <c r="E60" i="1" s="1"/>
  <c r="C59" i="1"/>
  <c r="D59" i="1" s="1"/>
  <c r="E59" i="1" s="1"/>
  <c r="C58" i="1"/>
  <c r="D58" i="1" s="1"/>
  <c r="E58" i="1" s="1"/>
  <c r="C57" i="1"/>
  <c r="D57" i="1" s="1"/>
  <c r="E57" i="1" s="1"/>
  <c r="C56" i="1"/>
  <c r="D56" i="1" s="1"/>
  <c r="E56" i="1" s="1"/>
  <c r="C42" i="1"/>
  <c r="D42" i="1" s="1"/>
  <c r="E42" i="1" s="1"/>
  <c r="C41" i="1"/>
  <c r="D41" i="1" s="1"/>
  <c r="E41" i="1" s="1"/>
  <c r="C40" i="1"/>
  <c r="D40" i="1" s="1"/>
  <c r="E40" i="1" s="1"/>
  <c r="C39" i="1"/>
  <c r="D39" i="1" s="1"/>
  <c r="E39" i="1" s="1"/>
  <c r="C38" i="1"/>
  <c r="D38" i="1" s="1"/>
  <c r="E38" i="1" s="1"/>
  <c r="C37" i="1"/>
  <c r="D37" i="1" s="1"/>
  <c r="E37" i="1" s="1"/>
  <c r="F61" i="1"/>
  <c r="G61" i="1" s="1"/>
  <c r="H61" i="1" s="1"/>
  <c r="F60" i="1"/>
  <c r="G60" i="1" s="1"/>
  <c r="H60" i="1" s="1"/>
  <c r="F59" i="1"/>
  <c r="G59" i="1" s="1"/>
  <c r="H59" i="1" s="1"/>
  <c r="F58" i="1"/>
  <c r="G58" i="1" s="1"/>
  <c r="H58" i="1" s="1"/>
  <c r="F57" i="1"/>
  <c r="G57" i="1" s="1"/>
  <c r="H57" i="1" s="1"/>
  <c r="F56" i="1"/>
  <c r="G56" i="1" s="1"/>
  <c r="H56" i="1" s="1"/>
  <c r="F42" i="1"/>
  <c r="G42" i="1" s="1"/>
  <c r="H42" i="1" s="1"/>
  <c r="F41" i="1"/>
  <c r="G41" i="1" s="1"/>
  <c r="H41" i="1" s="1"/>
  <c r="F40" i="1"/>
  <c r="G40" i="1" s="1"/>
  <c r="H40" i="1" s="1"/>
  <c r="F39" i="1"/>
  <c r="G39" i="1" s="1"/>
  <c r="H39" i="1" s="1"/>
  <c r="F38" i="1"/>
  <c r="G38" i="1" s="1"/>
  <c r="H38" i="1" s="1"/>
  <c r="F37" i="1"/>
  <c r="G37" i="1" s="1"/>
  <c r="H37" i="1" s="1"/>
  <c r="F23" i="1"/>
  <c r="G23" i="1" s="1"/>
  <c r="H23" i="1" s="1"/>
  <c r="F22" i="1"/>
  <c r="G22" i="1" s="1"/>
  <c r="H22" i="1" s="1"/>
  <c r="F21" i="1"/>
  <c r="G21" i="1" s="1"/>
  <c r="H21" i="1" s="1"/>
  <c r="F20" i="1"/>
  <c r="G20" i="1" s="1"/>
  <c r="H20" i="1" s="1"/>
  <c r="F19" i="1"/>
  <c r="G19" i="1" s="1"/>
  <c r="H19" i="1" s="1"/>
  <c r="F18" i="1"/>
  <c r="G18" i="1" s="1"/>
  <c r="H18" i="1" s="1"/>
  <c r="C23" i="1"/>
  <c r="D23" i="1" s="1"/>
  <c r="E23" i="1" s="1"/>
  <c r="C22" i="1"/>
  <c r="D22" i="1" s="1"/>
  <c r="E22" i="1" s="1"/>
  <c r="C21" i="1"/>
  <c r="D21" i="1" s="1"/>
  <c r="E21" i="1" s="1"/>
  <c r="C20" i="1"/>
  <c r="D20" i="1" s="1"/>
  <c r="E20" i="1" s="1"/>
  <c r="C19" i="1"/>
  <c r="D19" i="1" s="1"/>
  <c r="E19" i="1" s="1"/>
  <c r="C18" i="1"/>
  <c r="D18" i="1" s="1"/>
  <c r="E18" i="1" s="1"/>
  <c r="K6" i="3" l="1"/>
  <c r="K10" i="3" s="1"/>
  <c r="K6" i="2"/>
  <c r="K10" i="2" s="1"/>
  <c r="H64" i="1"/>
  <c r="E64" i="1"/>
  <c r="H45" i="1"/>
  <c r="E45" i="1"/>
  <c r="E26" i="1"/>
  <c r="H26" i="1"/>
  <c r="D113" i="2"/>
  <c r="E113" i="2" s="1"/>
  <c r="D114" i="2"/>
  <c r="E114" i="2"/>
  <c r="K112" i="2"/>
  <c r="K116" i="2" s="1"/>
  <c r="D6" i="2"/>
  <c r="E6" i="2"/>
  <c r="D7" i="2"/>
  <c r="E7" i="2" s="1"/>
  <c r="K5" i="2" s="1"/>
  <c r="K9" i="2" s="1"/>
  <c r="D32" i="2"/>
  <c r="E32" i="2" s="1"/>
  <c r="D33" i="2"/>
  <c r="E33" i="2" s="1"/>
  <c r="D59" i="2"/>
  <c r="E59" i="2" s="1"/>
  <c r="D60" i="2"/>
  <c r="E60" i="2"/>
  <c r="K58" i="2"/>
  <c r="K62" i="2" s="1"/>
  <c r="D86" i="2"/>
  <c r="E86" i="2"/>
  <c r="D87" i="2"/>
  <c r="E87" i="2"/>
  <c r="K85" i="2"/>
  <c r="K89" i="2" s="1"/>
  <c r="D6" i="4"/>
  <c r="E6" i="4" s="1"/>
  <c r="D7" i="4"/>
  <c r="E7" i="4" s="1"/>
  <c r="D32" i="4"/>
  <c r="E32" i="4" s="1"/>
  <c r="D33" i="4"/>
  <c r="E33" i="4" s="1"/>
  <c r="D59" i="4"/>
  <c r="E59" i="4" s="1"/>
  <c r="K59" i="4" s="1"/>
  <c r="K63" i="4" s="1"/>
  <c r="D60" i="4"/>
  <c r="E60" i="4"/>
  <c r="D85" i="4"/>
  <c r="E85" i="4" s="1"/>
  <c r="D86" i="4"/>
  <c r="E86" i="4" s="1"/>
  <c r="K84" i="4" s="1"/>
  <c r="K88" i="4" s="1"/>
  <c r="D87" i="3"/>
  <c r="E87" i="3" s="1"/>
  <c r="D88" i="3"/>
  <c r="E88" i="3" s="1"/>
  <c r="D60" i="3"/>
  <c r="E60" i="3" s="1"/>
  <c r="D61" i="3"/>
  <c r="E61" i="3" s="1"/>
  <c r="D33" i="3"/>
  <c r="E33" i="3" s="1"/>
  <c r="D34" i="3"/>
  <c r="E34" i="3" s="1"/>
  <c r="D6" i="3"/>
  <c r="E6" i="3" s="1"/>
  <c r="D7" i="3"/>
  <c r="E7" i="3"/>
  <c r="K5" i="3"/>
  <c r="K9" i="3" s="1"/>
  <c r="K31" i="4" l="1"/>
  <c r="K35" i="4" s="1"/>
  <c r="K5" i="4"/>
  <c r="K9" i="4" s="1"/>
  <c r="K32" i="3"/>
  <c r="K36" i="3" s="1"/>
  <c r="K59" i="3"/>
  <c r="K63" i="3" s="1"/>
  <c r="K86" i="3"/>
  <c r="K90" i="3" s="1"/>
  <c r="K31" i="2"/>
  <c r="K35" i="2" s="1"/>
  <c r="D247" i="2" l="1"/>
  <c r="E247" i="2" s="1"/>
  <c r="D248" i="2"/>
  <c r="E248" i="2" s="1"/>
  <c r="K246" i="2" s="1"/>
  <c r="K250" i="2" s="1"/>
  <c r="G247" i="2"/>
  <c r="H247" i="2" s="1"/>
  <c r="G249" i="2"/>
  <c r="H249" i="2" s="1"/>
  <c r="K247" i="2" s="1"/>
  <c r="K251" i="2" s="1"/>
  <c r="D249" i="3"/>
  <c r="E249" i="3" s="1"/>
  <c r="D250" i="3"/>
  <c r="E250" i="3" s="1"/>
  <c r="G249" i="3"/>
  <c r="H249" i="3" s="1"/>
  <c r="G251" i="3"/>
  <c r="H251" i="3" s="1"/>
  <c r="K249" i="3" l="1"/>
  <c r="K253" i="3" s="1"/>
  <c r="K248" i="3"/>
  <c r="K252" i="3" s="1"/>
  <c r="D248" i="4"/>
  <c r="E248" i="4" s="1"/>
  <c r="D249" i="4"/>
  <c r="E249" i="4" s="1"/>
  <c r="G248" i="4"/>
  <c r="H248" i="4" s="1"/>
  <c r="G250" i="4"/>
  <c r="H250" i="4" s="1"/>
  <c r="K248" i="4" l="1"/>
  <c r="K252" i="4" s="1"/>
  <c r="K247" i="4"/>
  <c r="K251" i="4" s="1"/>
  <c r="G275" i="3"/>
  <c r="H275" i="3" s="1"/>
  <c r="G277" i="3"/>
  <c r="H277" i="3" s="1"/>
  <c r="K275" i="3" l="1"/>
  <c r="K27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<sst xmlns="http://schemas.openxmlformats.org/spreadsheetml/2006/main" count="698" uniqueCount="71">
  <si>
    <t>Waktu (t)</t>
  </si>
  <si>
    <t>EFB 10 mm (Ct1)</t>
  </si>
  <si>
    <t>Error 1</t>
  </si>
  <si>
    <t>Error^2 1</t>
  </si>
  <si>
    <t>Error 2</t>
  </si>
  <si>
    <t>Error^2 2</t>
  </si>
  <si>
    <t>Asumsi</t>
  </si>
  <si>
    <t>Csat</t>
  </si>
  <si>
    <t>K1</t>
  </si>
  <si>
    <t>K2</t>
  </si>
  <si>
    <t>SSE Orde 1</t>
  </si>
  <si>
    <t>SSE Orde 2</t>
  </si>
  <si>
    <t>Hasil</t>
  </si>
  <si>
    <t>SSE Orde 1 (Setelah Solver)</t>
  </si>
  <si>
    <t>Orde 1 (Ct2)</t>
  </si>
  <si>
    <t>Orde 2 (Ct3)</t>
  </si>
  <si>
    <t>Orde 1 (Ct1)</t>
  </si>
  <si>
    <t>EFB 2 mm (Ct1)</t>
  </si>
  <si>
    <t>SSE Orde 1(Setelah Solver)</t>
  </si>
  <si>
    <t>SSE Orde 2 (Setelah Solver)</t>
  </si>
  <si>
    <t>EFB 0.85 mm (Ct1)</t>
  </si>
  <si>
    <t xml:space="preserve">SSE Orde 1 </t>
  </si>
  <si>
    <t xml:space="preserve">SSE Orde 2 </t>
  </si>
  <si>
    <t>SSE Orde 2 (Setelah solver)</t>
  </si>
  <si>
    <t>Error  2</t>
  </si>
  <si>
    <t>Error 2^2</t>
  </si>
  <si>
    <t>Error ^2 1</t>
  </si>
  <si>
    <t>Sulfur</t>
  </si>
  <si>
    <t>SST Orde 1</t>
  </si>
  <si>
    <t>SST Orde 2</t>
  </si>
  <si>
    <t>R^2 Orde 1</t>
  </si>
  <si>
    <t>R^2 Orde 2</t>
  </si>
  <si>
    <t xml:space="preserve">SST Orde 1 </t>
  </si>
  <si>
    <t>Orde 2 (Ct2)</t>
  </si>
  <si>
    <t>Calcium</t>
  </si>
  <si>
    <t>Orde 1</t>
  </si>
  <si>
    <t>Orde 2</t>
  </si>
  <si>
    <t>Magnesium</t>
  </si>
  <si>
    <t>Silicon</t>
  </si>
  <si>
    <t>Sodium</t>
  </si>
  <si>
    <t>Orde 2( Ct3)</t>
  </si>
  <si>
    <t>Fosfor</t>
  </si>
  <si>
    <t>Iron</t>
  </si>
  <si>
    <t xml:space="preserve">Csat </t>
  </si>
  <si>
    <t>Titanium</t>
  </si>
  <si>
    <t>Time (min)</t>
  </si>
  <si>
    <t>Concentration EFB 10mm (Ct1)</t>
  </si>
  <si>
    <t>Concentration (Ct1)</t>
  </si>
  <si>
    <t>Concentration EFB 2 mm (Ct1)</t>
  </si>
  <si>
    <t>Time (t)</t>
  </si>
  <si>
    <t>Concenctration (Ct1)</t>
  </si>
  <si>
    <t>Concentration EFB 0,85mm (Ct1)</t>
  </si>
  <si>
    <t>Logam</t>
  </si>
  <si>
    <t>EFB (mm)</t>
  </si>
  <si>
    <t>k1</t>
  </si>
  <si>
    <t>k2</t>
  </si>
  <si>
    <t>Model Terbaik</t>
  </si>
  <si>
    <t>Potassium</t>
  </si>
  <si>
    <t>Phosfor</t>
  </si>
  <si>
    <t>Alumunium</t>
  </si>
  <si>
    <t>Chloride</t>
  </si>
  <si>
    <t>SSE ORDE 1</t>
  </si>
  <si>
    <t>SSE ORDE 2</t>
  </si>
  <si>
    <t>SST ORDE 1</t>
  </si>
  <si>
    <t>SST ORDE 2</t>
  </si>
  <si>
    <t>R^2 ORDE 1</t>
  </si>
  <si>
    <t>R^2 ORDE 2</t>
  </si>
  <si>
    <t xml:space="preserve">Error^2 2 </t>
  </si>
  <si>
    <t>Csat (Ct1)</t>
  </si>
  <si>
    <t>Error^2 22</t>
  </si>
  <si>
    <t>Orde 2(Ct3)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</si>
</sst>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0000"/>
    <numFmt numFmtId="165" formatCode="0.00000000000000"/>
    <numFmt numFmtId="166" formatCode="0.000000000000000"/>
    <numFmt numFmtId="167" formatCode="0.00000000000000000"/>
    <numFmt numFmtId="168" formatCode="0.0"/>
    <numFmt numFmtId="169" formatCode="0.000000000"/>
    <numFmt numFmtId="170" formatCode="0.000"/>
    <numFmt numFmtId="171" formatCode="0.000000E+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1" fillId="0" borderId="0" xfId="0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15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10mm'!$B$3:$B$9</c:f>
              <c:numCache>
                <c:formatCode>General</c:formatCode>
                <c:ptCount val="7"/>
                <c:pt idx="0">
                  <c:v>0</c:v>
                </c:pt>
                <c:pt idx="1">
                  <c:v>127</c:v>
                </c:pt>
                <c:pt idx="2">
                  <c:v>133.19999999999999</c:v>
                </c:pt>
                <c:pt idx="3">
                  <c:v>134.6</c:v>
                </c:pt>
                <c:pt idx="4">
                  <c:v>139</c:v>
                </c:pt>
                <c:pt idx="5">
                  <c:v>143.80000000000001</c:v>
                </c:pt>
                <c:pt idx="6">
                  <c:v>146.19999999999999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8-41EC-9C52-FC09BBB918B4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10mm'!$C$3:$C$9</c:f>
              <c:numCache>
                <c:formatCode>General</c:formatCode>
                <c:ptCount val="7"/>
                <c:pt idx="0">
                  <c:v>0</c:v>
                </c:pt>
                <c:pt idx="1">
                  <c:v>123.1001371672827</c:v>
                </c:pt>
                <c:pt idx="2">
                  <c:v>142.5501801443888</c:v>
                </c:pt>
                <c:pt idx="3">
                  <c:v>145.62332190130815</c:v>
                </c:pt>
                <c:pt idx="4">
                  <c:v>146.10888382367705</c:v>
                </c:pt>
                <c:pt idx="5">
                  <c:v>146.18560348033583</c:v>
                </c:pt>
                <c:pt idx="6">
                  <c:v>146.19772532401154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8-41EC-9C52-FC09BBB918B4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10mm'!$F$3:$F$9</c:f>
              <c:numCache>
                <c:formatCode>General</c:formatCode>
                <c:ptCount val="7"/>
                <c:pt idx="0">
                  <c:v>0</c:v>
                </c:pt>
                <c:pt idx="1">
                  <c:v>125.36927279024013</c:v>
                </c:pt>
                <c:pt idx="2">
                  <c:v>134.98572569430857</c:v>
                </c:pt>
                <c:pt idx="3">
                  <c:v>138.52764781355953</c:v>
                </c:pt>
                <c:pt idx="4">
                  <c:v>140.36923850083875</c:v>
                </c:pt>
                <c:pt idx="5">
                  <c:v>141.49788476444652</c:v>
                </c:pt>
                <c:pt idx="6">
                  <c:v>142.26045321460285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28-41EC-9C52-FC09BBB91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10mm'!$A$29:$A$35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10mm'!$B$29:$B$35</c:f>
              <c:numCache>
                <c:formatCode>General</c:formatCode>
                <c:ptCount val="7"/>
                <c:pt idx="0">
                  <c:v>0</c:v>
                </c:pt>
                <c:pt idx="1">
                  <c:v>7</c:v>
                </c:pt>
                <c:pt idx="2">
                  <c:v>7.1</c:v>
                </c:pt>
                <c:pt idx="3">
                  <c:v>7.1</c:v>
                </c:pt>
                <c:pt idx="4">
                  <c:v>7.2</c:v>
                </c:pt>
                <c:pt idx="5">
                  <c:v>7.4</c:v>
                </c:pt>
                <c:pt idx="6">
                  <c:v>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A6-4797-842E-9832B0AC0A0A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10mm'!$A$29:$A$35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10mm'!$C$29:$C$35</c:f>
              <c:numCache>
                <c:formatCode>0.0</c:formatCode>
                <c:ptCount val="7"/>
                <c:pt idx="0" formatCode="General">
                  <c:v>0</c:v>
                </c:pt>
                <c:pt idx="1">
                  <c:v>7.4</c:v>
                </c:pt>
                <c:pt idx="2">
                  <c:v>7.4</c:v>
                </c:pt>
                <c:pt idx="3" formatCode="General">
                  <c:v>7.4</c:v>
                </c:pt>
                <c:pt idx="4" formatCode="General">
                  <c:v>7.4</c:v>
                </c:pt>
                <c:pt idx="5" formatCode="General">
                  <c:v>7.4</c:v>
                </c:pt>
                <c:pt idx="6" formatCode="General">
                  <c:v>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A6-4797-842E-9832B0AC0A0A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10mm'!$A$29:$A$35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10mm'!$F$29:$F$35</c:f>
              <c:numCache>
                <c:formatCode>General</c:formatCode>
                <c:ptCount val="7"/>
                <c:pt idx="0">
                  <c:v>0</c:v>
                </c:pt>
                <c:pt idx="1">
                  <c:v>7.1914893622344982</c:v>
                </c:pt>
                <c:pt idx="2">
                  <c:v>7.1943445151906582</c:v>
                </c:pt>
                <c:pt idx="3">
                  <c:v>7.1943445151906582</c:v>
                </c:pt>
                <c:pt idx="4">
                  <c:v>7.1971225326900825</c:v>
                </c:pt>
                <c:pt idx="5">
                  <c:v>7.2024593358619686</c:v>
                </c:pt>
                <c:pt idx="6">
                  <c:v>7.2024593358619686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A6-4797-842E-9832B0AC0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10mm'!$A$56:$A$62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10mm'!$B$56:$B$62</c:f>
              <c:numCache>
                <c:formatCode>General</c:formatCode>
                <c:ptCount val="7"/>
                <c:pt idx="0">
                  <c:v>0</c:v>
                </c:pt>
                <c:pt idx="1">
                  <c:v>69.599999999999994</c:v>
                </c:pt>
                <c:pt idx="2">
                  <c:v>89</c:v>
                </c:pt>
                <c:pt idx="3">
                  <c:v>90.7</c:v>
                </c:pt>
                <c:pt idx="4">
                  <c:v>91.5</c:v>
                </c:pt>
                <c:pt idx="5">
                  <c:v>96.9</c:v>
                </c:pt>
                <c:pt idx="6">
                  <c:v>97.3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77-4A89-8070-1C12C1FAB471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10mm'!$A$56:$A$62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10mm'!$C$56:$C$62</c:f>
              <c:numCache>
                <c:formatCode>General</c:formatCode>
                <c:ptCount val="7"/>
                <c:pt idx="0">
                  <c:v>0</c:v>
                </c:pt>
                <c:pt idx="1">
                  <c:v>97.299999999996743</c:v>
                </c:pt>
                <c:pt idx="2">
                  <c:v>97.3</c:v>
                </c:pt>
                <c:pt idx="3">
                  <c:v>97.3</c:v>
                </c:pt>
                <c:pt idx="4">
                  <c:v>97.3</c:v>
                </c:pt>
                <c:pt idx="5">
                  <c:v>97.3</c:v>
                </c:pt>
                <c:pt idx="6">
                  <c:v>97.3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77-4A89-8070-1C12C1FAB471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10mm'!$A$56:$A$62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10mm'!$F$56:$F$62</c:f>
              <c:numCache>
                <c:formatCode>General</c:formatCode>
                <c:ptCount val="7"/>
                <c:pt idx="0">
                  <c:v>0</c:v>
                </c:pt>
                <c:pt idx="1">
                  <c:v>75.685978216026797</c:v>
                </c:pt>
                <c:pt idx="2">
                  <c:v>85.14268909382767</c:v>
                </c:pt>
                <c:pt idx="3">
                  <c:v>88.84289711733048</c:v>
                </c:pt>
                <c:pt idx="4">
                  <c:v>90.816285267193052</c:v>
                </c:pt>
                <c:pt idx="5">
                  <c:v>92.042966329561452</c:v>
                </c:pt>
                <c:pt idx="6">
                  <c:v>92.879331130937189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77-4A89-8070-1C12C1FAB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10mm'!$A$56:$A$62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10mm'!$B$56:$B$62</c:f>
              <c:numCache>
                <c:formatCode>General</c:formatCode>
                <c:ptCount val="7"/>
                <c:pt idx="0">
                  <c:v>0</c:v>
                </c:pt>
                <c:pt idx="1">
                  <c:v>69.599999999999994</c:v>
                </c:pt>
                <c:pt idx="2">
                  <c:v>89</c:v>
                </c:pt>
                <c:pt idx="3">
                  <c:v>90.7</c:v>
                </c:pt>
                <c:pt idx="4">
                  <c:v>91.5</c:v>
                </c:pt>
                <c:pt idx="5">
                  <c:v>96.9</c:v>
                </c:pt>
                <c:pt idx="6">
                  <c:v>97.3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20-4D3B-8ED0-34CA645E9A87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10mm'!$A$56:$A$62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10mm'!$C$56:$C$62</c:f>
              <c:numCache>
                <c:formatCode>General</c:formatCode>
                <c:ptCount val="7"/>
                <c:pt idx="0">
                  <c:v>0</c:v>
                </c:pt>
                <c:pt idx="1">
                  <c:v>97.299999999996743</c:v>
                </c:pt>
                <c:pt idx="2">
                  <c:v>97.3</c:v>
                </c:pt>
                <c:pt idx="3">
                  <c:v>97.3</c:v>
                </c:pt>
                <c:pt idx="4">
                  <c:v>97.3</c:v>
                </c:pt>
                <c:pt idx="5">
                  <c:v>97.3</c:v>
                </c:pt>
                <c:pt idx="6">
                  <c:v>97.3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20-4D3B-8ED0-34CA645E9A87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10mm'!$A$56:$A$62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10mm'!$F$56:$F$62</c:f>
              <c:numCache>
                <c:formatCode>General</c:formatCode>
                <c:ptCount val="7"/>
                <c:pt idx="0">
                  <c:v>0</c:v>
                </c:pt>
                <c:pt idx="1">
                  <c:v>75.685978216026797</c:v>
                </c:pt>
                <c:pt idx="2">
                  <c:v>85.14268909382767</c:v>
                </c:pt>
                <c:pt idx="3">
                  <c:v>88.84289711733048</c:v>
                </c:pt>
                <c:pt idx="4">
                  <c:v>90.816285267193052</c:v>
                </c:pt>
                <c:pt idx="5">
                  <c:v>92.042966329561452</c:v>
                </c:pt>
                <c:pt idx="6">
                  <c:v>92.879331130937189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20-4D3B-8ED0-34CA645E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10mm'!$A$110:$A$116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10mm'!$B$110:$B$116</c:f>
              <c:numCache>
                <c:formatCode>General</c:formatCode>
                <c:ptCount val="7"/>
                <c:pt idx="0">
                  <c:v>0</c:v>
                </c:pt>
                <c:pt idx="1">
                  <c:v>0.9</c:v>
                </c:pt>
                <c:pt idx="2">
                  <c:v>1.6</c:v>
                </c:pt>
                <c:pt idx="3">
                  <c:v>1.8</c:v>
                </c:pt>
                <c:pt idx="4">
                  <c:v>2.2000000000000002</c:v>
                </c:pt>
                <c:pt idx="5">
                  <c:v>2.4</c:v>
                </c:pt>
                <c:pt idx="6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35-4A70-9D60-13AC04B22472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10mm'!$A$110:$A$116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10mm'!$C$110:$C$116</c:f>
              <c:numCache>
                <c:formatCode>General</c:formatCode>
                <c:ptCount val="7"/>
                <c:pt idx="0">
                  <c:v>0</c:v>
                </c:pt>
                <c:pt idx="1">
                  <c:v>2.5999999999440702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35-4A70-9D60-13AC04B22472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10mm'!$A$110:$A$116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10mm'!$F$110:$F$116</c:f>
              <c:numCache>
                <c:formatCode>General</c:formatCode>
                <c:ptCount val="7"/>
                <c:pt idx="0">
                  <c:v>0</c:v>
                </c:pt>
                <c:pt idx="1">
                  <c:v>1.2355823195156377</c:v>
                </c:pt>
                <c:pt idx="2">
                  <c:v>1.6751115023109913</c:v>
                </c:pt>
                <c:pt idx="3">
                  <c:v>1.9004593181701543</c:v>
                </c:pt>
                <c:pt idx="4">
                  <c:v>2.0375093859677085</c:v>
                </c:pt>
                <c:pt idx="5">
                  <c:v>2.1296564445180777</c:v>
                </c:pt>
                <c:pt idx="6">
                  <c:v>2.1958621900181718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35-4A70-9D60-13AC04B22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10mm'!$A$137:$A$143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10mm'!$B$137:$B$143</c:f>
              <c:numCache>
                <c:formatCode>General</c:formatCode>
                <c:ptCount val="7"/>
                <c:pt idx="0">
                  <c:v>0</c:v>
                </c:pt>
                <c:pt idx="1">
                  <c:v>16.600000000000001</c:v>
                </c:pt>
                <c:pt idx="2">
                  <c:v>21.6</c:v>
                </c:pt>
                <c:pt idx="3">
                  <c:v>22.7</c:v>
                </c:pt>
                <c:pt idx="4">
                  <c:v>23</c:v>
                </c:pt>
                <c:pt idx="5">
                  <c:v>23.1</c:v>
                </c:pt>
                <c:pt idx="6">
                  <c:v>23.2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F0-4B71-8151-92BCE8795DB1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10mm'!$A$137:$A$143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10mm'!$C$137:$C$143</c:f>
              <c:numCache>
                <c:formatCode>General</c:formatCode>
                <c:ptCount val="7"/>
                <c:pt idx="0">
                  <c:v>0</c:v>
                </c:pt>
                <c:pt idx="1">
                  <c:v>16.714041882459309</c:v>
                </c:pt>
                <c:pt idx="2">
                  <c:v>21.386739107651206</c:v>
                </c:pt>
                <c:pt idx="3">
                  <c:v>22.693071801553934</c:v>
                </c:pt>
                <c:pt idx="4">
                  <c:v>23.058279523115452</c:v>
                </c:pt>
                <c:pt idx="5">
                  <c:v>23.160379608729695</c:v>
                </c:pt>
                <c:pt idx="6">
                  <c:v>23.188923439725009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F0-4B71-8151-92BCE8795DB1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10mm'!$A$137:$A$143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10mm'!$F$137:$F$143</c:f>
              <c:numCache>
                <c:formatCode>General</c:formatCode>
                <c:ptCount val="7"/>
                <c:pt idx="0">
                  <c:v>0</c:v>
                </c:pt>
                <c:pt idx="1">
                  <c:v>18.623033060780912</c:v>
                </c:pt>
                <c:pt idx="2">
                  <c:v>20.661072877340949</c:v>
                </c:pt>
                <c:pt idx="3">
                  <c:v>21.443299526286211</c:v>
                </c:pt>
                <c:pt idx="4">
                  <c:v>21.857052703420763</c:v>
                </c:pt>
                <c:pt idx="5">
                  <c:v>22.113058497631911</c:v>
                </c:pt>
                <c:pt idx="6">
                  <c:v>22.28708694423084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F0-4B71-8151-92BCE8795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10mm'!$A$165:$A$171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10mm'!$B$165:$B$171</c:f>
              <c:numCache>
                <c:formatCode>General</c:formatCode>
                <c:ptCount val="7"/>
                <c:pt idx="0">
                  <c:v>0</c:v>
                </c:pt>
                <c:pt idx="1">
                  <c:v>1.89</c:v>
                </c:pt>
                <c:pt idx="2">
                  <c:v>3.39</c:v>
                </c:pt>
                <c:pt idx="3">
                  <c:v>7.99</c:v>
                </c:pt>
                <c:pt idx="4">
                  <c:v>8.59</c:v>
                </c:pt>
                <c:pt idx="5">
                  <c:v>8.59</c:v>
                </c:pt>
                <c:pt idx="6">
                  <c:v>8.59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EA-4DD3-B048-56B165C940B9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10mm'!$A$165:$A$171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10mm'!$C$165:$C$171</c:f>
              <c:numCache>
                <c:formatCode>General</c:formatCode>
                <c:ptCount val="7"/>
                <c:pt idx="0">
                  <c:v>0</c:v>
                </c:pt>
                <c:pt idx="1">
                  <c:v>3.2643212425727297</c:v>
                </c:pt>
                <c:pt idx="2">
                  <c:v>5.2881543390789201</c:v>
                </c:pt>
                <c:pt idx="3">
                  <c:v>6.5429022937519434</c:v>
                </c:pt>
                <c:pt idx="4">
                  <c:v>7.3208283156526939</c:v>
                </c:pt>
                <c:pt idx="5">
                  <c:v>7.8031314692832785</c:v>
                </c:pt>
                <c:pt idx="6">
                  <c:v>8.102152617121531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EA-4DD3-B048-56B165C940B9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10mm'!$A$165:$A$171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10mm'!$F$165:$F$171</c:f>
              <c:numCache>
                <c:formatCode>General</c:formatCode>
                <c:ptCount val="7"/>
                <c:pt idx="0">
                  <c:v>0</c:v>
                </c:pt>
                <c:pt idx="1">
                  <c:v>3.6911746435306974</c:v>
                </c:pt>
                <c:pt idx="2">
                  <c:v>5.1635435710754187</c:v>
                </c:pt>
                <c:pt idx="3">
                  <c:v>5.9553900840899159</c:v>
                </c:pt>
                <c:pt idx="4">
                  <c:v>6.4499507412502632</c:v>
                </c:pt>
                <c:pt idx="5">
                  <c:v>1.3863401472321389E-2</c:v>
                </c:pt>
                <c:pt idx="6">
                  <c:v>1.4365617704076794E-2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EA-4DD3-B048-56B165C94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10mm'!$A$192:$A$198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10mm'!$B$192:$B$198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E6-4FA2-96C4-43702B137EB8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10mm'!$A$192:$A$198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10mm'!$C$192:$C$198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E6-4FA2-96C4-43702B137EB8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10mm'!$A$192:$A$198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10mm'!$F$192:$F$198</c:f>
              <c:numCache>
                <c:formatCode>General</c:formatCode>
                <c:ptCount val="7"/>
                <c:pt idx="0">
                  <c:v>0</c:v>
                </c:pt>
                <c:pt idx="1">
                  <c:v>1.1792745047219636E-2</c:v>
                </c:pt>
                <c:pt idx="2">
                  <c:v>2.1097514051092583E-2</c:v>
                </c:pt>
                <c:pt idx="3">
                  <c:v>2.8626528174645925E-2</c:v>
                </c:pt>
                <c:pt idx="4">
                  <c:v>9.3167973850932159E-2</c:v>
                </c:pt>
                <c:pt idx="5">
                  <c:v>0.10712808203998563</c:v>
                </c:pt>
                <c:pt idx="6">
                  <c:v>0.11901692527270265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E6-4FA2-96C4-43702B137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10mm'!$A$219:$A$225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10mm'!$B$219:$B$225</c:f>
              <c:numCache>
                <c:formatCode>General</c:formatCode>
                <c:ptCount val="7"/>
                <c:pt idx="0">
                  <c:v>0</c:v>
                </c:pt>
                <c:pt idx="1">
                  <c:v>447.5</c:v>
                </c:pt>
                <c:pt idx="2">
                  <c:v>557</c:v>
                </c:pt>
                <c:pt idx="3">
                  <c:v>558.20000000000005</c:v>
                </c:pt>
                <c:pt idx="4">
                  <c:v>559.5</c:v>
                </c:pt>
                <c:pt idx="5">
                  <c:v>559.79999999999995</c:v>
                </c:pt>
                <c:pt idx="6">
                  <c:v>570.70000000000005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70-4760-AE9C-72C03309D9E1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10mm'!$A$219:$A$225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10mm'!$C$219:$C$225</c:f>
              <c:numCache>
                <c:formatCode>General</c:formatCode>
                <c:ptCount val="7"/>
                <c:pt idx="0">
                  <c:v>0</c:v>
                </c:pt>
                <c:pt idx="1">
                  <c:v>450.87919505107322</c:v>
                </c:pt>
                <c:pt idx="2">
                  <c:v>545.54313071910155</c:v>
                </c:pt>
                <c:pt idx="3">
                  <c:v>565.41821214783215</c:v>
                </c:pt>
                <c:pt idx="4">
                  <c:v>569.59106698437677</c:v>
                </c:pt>
                <c:pt idx="5">
                  <c:v>570.46717496659119</c:v>
                </c:pt>
                <c:pt idx="6">
                  <c:v>570.65111742962097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70-4760-AE9C-72C03309D9E1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10mm'!$A$219:$A$225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10mm'!$F$219:$F$225</c:f>
              <c:numCache>
                <c:formatCode>General</c:formatCode>
                <c:ptCount val="7"/>
                <c:pt idx="0">
                  <c:v>0</c:v>
                </c:pt>
                <c:pt idx="1">
                  <c:v>484.65476638998626</c:v>
                </c:pt>
                <c:pt idx="2">
                  <c:v>524.16966121239977</c:v>
                </c:pt>
                <c:pt idx="3">
                  <c:v>538.8131747719832</c:v>
                </c:pt>
                <c:pt idx="4">
                  <c:v>546.44609536930818</c:v>
                </c:pt>
                <c:pt idx="5">
                  <c:v>551.13054169746363</c:v>
                </c:pt>
                <c:pt idx="6">
                  <c:v>554.29838209098421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70-4760-AE9C-72C03309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10mm'!$A$219:$A$225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10mm'!$B$244:$B$250</c:f>
              <c:numCache>
                <c:formatCode>General</c:formatCode>
                <c:ptCount val="7"/>
                <c:pt idx="0">
                  <c:v>0</c:v>
                </c:pt>
                <c:pt idx="1">
                  <c:v>0.9</c:v>
                </c:pt>
                <c:pt idx="2">
                  <c:v>1.2</c:v>
                </c:pt>
                <c:pt idx="3">
                  <c:v>1.2</c:v>
                </c:pt>
                <c:pt idx="4">
                  <c:v>1.4</c:v>
                </c:pt>
                <c:pt idx="5">
                  <c:v>1.4</c:v>
                </c:pt>
                <c:pt idx="6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E4-49DB-9A58-38A96A9221EE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10mm'!$A$219:$A$225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10mm'!$C$244:$C$250</c:f>
              <c:numCache>
                <c:formatCode>General</c:formatCode>
                <c:ptCount val="7"/>
                <c:pt idx="0">
                  <c:v>0</c:v>
                </c:pt>
                <c:pt idx="1">
                  <c:v>0.74378838821896665</c:v>
                </c:pt>
                <c:pt idx="2">
                  <c:v>1.1418135474070781</c:v>
                </c:pt>
                <c:pt idx="3">
                  <c:v>1.3548096493307378</c:v>
                </c:pt>
                <c:pt idx="4">
                  <c:v>1.4687907341626965</c:v>
                </c:pt>
                <c:pt idx="5">
                  <c:v>1.5297856893855226</c:v>
                </c:pt>
                <c:pt idx="6">
                  <c:v>1.5624260574616777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E4-49DB-9A58-38A96A9221EE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10mm'!$A$219:$A$225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10mm'!$F$244:$F$250</c:f>
              <c:numCache>
                <c:formatCode>General</c:formatCode>
                <c:ptCount val="7"/>
                <c:pt idx="0">
                  <c:v>0</c:v>
                </c:pt>
                <c:pt idx="1">
                  <c:v>0.93824174903442448</c:v>
                </c:pt>
                <c:pt idx="2">
                  <c:v>1.1828556511814901</c:v>
                </c:pt>
                <c:pt idx="3">
                  <c:v>1.2954355738685139</c:v>
                </c:pt>
                <c:pt idx="4">
                  <c:v>1.360163284852288</c:v>
                </c:pt>
                <c:pt idx="5">
                  <c:v>1.402200685655473</c:v>
                </c:pt>
                <c:pt idx="6">
                  <c:v>1.4316995597455811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E4-49DB-9A58-38A96A922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10mm'!$A$219:$A$225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10mm'!$B$270:$B$276</c:f>
              <c:numCache>
                <c:formatCode>General</c:formatCode>
                <c:ptCount val="7"/>
                <c:pt idx="0">
                  <c:v>0</c:v>
                </c:pt>
                <c:pt idx="1">
                  <c:v>1.19</c:v>
                </c:pt>
                <c:pt idx="2">
                  <c:v>1.89</c:v>
                </c:pt>
                <c:pt idx="3">
                  <c:v>2.09</c:v>
                </c:pt>
                <c:pt idx="4">
                  <c:v>2.29</c:v>
                </c:pt>
                <c:pt idx="5">
                  <c:v>2.29</c:v>
                </c:pt>
                <c:pt idx="6">
                  <c:v>3.19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FD-4D7D-A23C-C9EC92CE4F95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10mm'!$A$219:$A$225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10mm'!$C$270:$C$276</c:f>
              <c:numCache>
                <c:formatCode>General</c:formatCode>
                <c:ptCount val="7"/>
                <c:pt idx="0">
                  <c:v>0</c:v>
                </c:pt>
                <c:pt idx="1">
                  <c:v>0.99660711149120995</c:v>
                </c:pt>
                <c:pt idx="2">
                  <c:v>1.6818581933037826</c:v>
                </c:pt>
                <c:pt idx="3">
                  <c:v>2.1530258577836108</c:v>
                </c:pt>
                <c:pt idx="4">
                  <c:v>2.4769931946379526</c:v>
                </c:pt>
                <c:pt idx="5">
                  <c:v>2.6997479447211643</c:v>
                </c:pt>
                <c:pt idx="6">
                  <c:v>2.8529105418102145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FD-4D7D-A23C-C9EC92CE4F95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10mm'!$A$219:$A$225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10mm'!$F$270:$F$276</c:f>
              <c:numCache>
                <c:formatCode>General</c:formatCode>
                <c:ptCount val="7"/>
                <c:pt idx="0">
                  <c:v>0</c:v>
                </c:pt>
                <c:pt idx="1">
                  <c:v>1.3245992336026009</c:v>
                </c:pt>
                <c:pt idx="2">
                  <c:v>1.8719143545419055</c:v>
                </c:pt>
                <c:pt idx="3">
                  <c:v>2.1709169052519233</c:v>
                </c:pt>
                <c:pt idx="4">
                  <c:v>2.3593472242890527</c:v>
                </c:pt>
                <c:pt idx="5">
                  <c:v>2.4889691115073864</c:v>
                </c:pt>
                <c:pt idx="6">
                  <c:v>2.5835971906108854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FD-4D7D-A23C-C9EC92CE4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2mm'!$B$193:$B$199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78-44DA-BC7F-93A1B7015E2C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2mm'!$C$193:$C$199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78-44DA-BC7F-93A1B7015E2C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2mm'!$F$193:$F$199</c:f>
              <c:numCache>
                <c:formatCode>General</c:formatCode>
                <c:ptCount val="7"/>
                <c:pt idx="0">
                  <c:v>0</c:v>
                </c:pt>
                <c:pt idx="1">
                  <c:v>9.9999962747111606E-2</c:v>
                </c:pt>
                <c:pt idx="2">
                  <c:v>9.9999981373552344E-2</c:v>
                </c:pt>
                <c:pt idx="3">
                  <c:v>9.9999987582367458E-2</c:v>
                </c:pt>
                <c:pt idx="4">
                  <c:v>9.9999990686775314E-2</c:v>
                </c:pt>
                <c:pt idx="5">
                  <c:v>9.9999992549420116E-2</c:v>
                </c:pt>
                <c:pt idx="6">
                  <c:v>9.999999379118335E-2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78-44DA-BC7F-93A1B7015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2mm'!$A$166:$A$172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2mm'!$B$166:$B$172</c:f>
              <c:numCache>
                <c:formatCode>General</c:formatCode>
                <c:ptCount val="7"/>
                <c:pt idx="0">
                  <c:v>0</c:v>
                </c:pt>
                <c:pt idx="1">
                  <c:v>6.49</c:v>
                </c:pt>
                <c:pt idx="2">
                  <c:v>6.89</c:v>
                </c:pt>
                <c:pt idx="3">
                  <c:v>7.79</c:v>
                </c:pt>
                <c:pt idx="4">
                  <c:v>7.79</c:v>
                </c:pt>
                <c:pt idx="5">
                  <c:v>7.89</c:v>
                </c:pt>
                <c:pt idx="6">
                  <c:v>8.59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F-47A6-979F-E2452BF8CF4A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2mm'!$A$166:$A$172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2mm'!$C$166:$C$172</c:f>
              <c:numCache>
                <c:formatCode>General</c:formatCode>
                <c:ptCount val="7"/>
                <c:pt idx="0">
                  <c:v>0</c:v>
                </c:pt>
                <c:pt idx="1">
                  <c:v>5.6935064738085979</c:v>
                </c:pt>
                <c:pt idx="2">
                  <c:v>7.613320751191071</c:v>
                </c:pt>
                <c:pt idx="3">
                  <c:v>8.2606699509498789</c:v>
                </c:pt>
                <c:pt idx="4">
                  <c:v>8.4789519959192106</c:v>
                </c:pt>
                <c:pt idx="5">
                  <c:v>8.552555317239058</c:v>
                </c:pt>
                <c:pt idx="6">
                  <c:v>8.5773738904298771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EF-47A6-979F-E2452BF8CF4A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2mm'!$A$166:$A$172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2mm'!$F$166:$F$172</c:f>
              <c:numCache>
                <c:formatCode>General</c:formatCode>
                <c:ptCount val="7"/>
                <c:pt idx="0">
                  <c:v>0</c:v>
                </c:pt>
                <c:pt idx="1">
                  <c:v>6.332490828733838</c:v>
                </c:pt>
                <c:pt idx="2">
                  <c:v>7.2904847914641522</c:v>
                </c:pt>
                <c:pt idx="3">
                  <c:v>7.6776489994822841</c:v>
                </c:pt>
                <c:pt idx="4">
                  <c:v>7.8870721115942866</c:v>
                </c:pt>
                <c:pt idx="5">
                  <c:v>8.0183011570169409</c:v>
                </c:pt>
                <c:pt idx="6">
                  <c:v>8.108240460272004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EF-47A6-979F-E2452BF8C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2mm'!$A$139:$A$145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2mm'!$B$139:$B$145</c:f>
              <c:numCache>
                <c:formatCode>General</c:formatCode>
                <c:ptCount val="7"/>
                <c:pt idx="0">
                  <c:v>0</c:v>
                </c:pt>
                <c:pt idx="1">
                  <c:v>20.100000000000001</c:v>
                </c:pt>
                <c:pt idx="2">
                  <c:v>21</c:v>
                </c:pt>
                <c:pt idx="3">
                  <c:v>21.2</c:v>
                </c:pt>
                <c:pt idx="4">
                  <c:v>21.1</c:v>
                </c:pt>
                <c:pt idx="5">
                  <c:v>22.2</c:v>
                </c:pt>
                <c:pt idx="6">
                  <c:v>23.9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DF-4A23-BBB2-19593CAC55C5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2mm'!$A$139:$A$145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2mm'!$C$139:$C$145</c:f>
              <c:numCache>
                <c:formatCode>General</c:formatCode>
                <c:ptCount val="7"/>
                <c:pt idx="0">
                  <c:v>0</c:v>
                </c:pt>
                <c:pt idx="1">
                  <c:v>18.877791125293665</c:v>
                </c:pt>
                <c:pt idx="2">
                  <c:v>22.84466184179167</c:v>
                </c:pt>
                <c:pt idx="3">
                  <c:v>23.678237294394552</c:v>
                </c:pt>
                <c:pt idx="4">
                  <c:v>23.853400057398719</c:v>
                </c:pt>
                <c:pt idx="5">
                  <c:v>23.89020775542707</c:v>
                </c:pt>
                <c:pt idx="6">
                  <c:v>23.897942313908054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DF-4A23-BBB2-19593CAC55C5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2mm'!$A$139:$A$145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2mm'!$F$139:$F$145</c:f>
              <c:numCache>
                <c:formatCode>General</c:formatCode>
                <c:ptCount val="7"/>
                <c:pt idx="0">
                  <c:v>0</c:v>
                </c:pt>
                <c:pt idx="1">
                  <c:v>19.139478418563883</c:v>
                </c:pt>
                <c:pt idx="2">
                  <c:v>21.256462718022878</c:v>
                </c:pt>
                <c:pt idx="3">
                  <c:v>22.070177314258416</c:v>
                </c:pt>
                <c:pt idx="4">
                  <c:v>22.500852740973517</c:v>
                </c:pt>
                <c:pt idx="5">
                  <c:v>22.767421573523272</c:v>
                </c:pt>
                <c:pt idx="6">
                  <c:v>22.948671013595167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DF-4A23-BBB2-19593CAC5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2mm'!$A$112:$A$118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2mm'!$B$112:$B$118</c:f>
              <c:numCache>
                <c:formatCode>General</c:formatCode>
                <c:ptCount val="7"/>
                <c:pt idx="0">
                  <c:v>0</c:v>
                </c:pt>
                <c:pt idx="1">
                  <c:v>14.2</c:v>
                </c:pt>
                <c:pt idx="2">
                  <c:v>15.2</c:v>
                </c:pt>
                <c:pt idx="3">
                  <c:v>16</c:v>
                </c:pt>
                <c:pt idx="4">
                  <c:v>16.100000000000001</c:v>
                </c:pt>
                <c:pt idx="5">
                  <c:v>17.2</c:v>
                </c:pt>
                <c:pt idx="6">
                  <c:v>17.2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B4-4E91-A31A-F65B49352881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2mm'!$A$112:$A$118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2mm'!$C$112:$C$118</c:f>
              <c:numCache>
                <c:formatCode>General</c:formatCode>
                <c:ptCount val="7"/>
                <c:pt idx="0">
                  <c:v>0</c:v>
                </c:pt>
                <c:pt idx="1">
                  <c:v>13.496759274803825</c:v>
                </c:pt>
                <c:pt idx="2">
                  <c:v>16.402674891351655</c:v>
                </c:pt>
                <c:pt idx="3">
                  <c:v>17.02833216200186</c:v>
                </c:pt>
                <c:pt idx="4">
                  <c:v>17.163039108785984</c:v>
                </c:pt>
                <c:pt idx="5">
                  <c:v>17.192042146652135</c:v>
                </c:pt>
                <c:pt idx="6">
                  <c:v>17.198286636825408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B4-4E91-A31A-F65B49352881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2mm'!$A$112:$A$118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2mm'!$F$112:$F$118</c:f>
              <c:numCache>
                <c:formatCode>General</c:formatCode>
                <c:ptCount val="7"/>
                <c:pt idx="0">
                  <c:v>0</c:v>
                </c:pt>
                <c:pt idx="1">
                  <c:v>14.200070657852393</c:v>
                </c:pt>
                <c:pt idx="2">
                  <c:v>15.55673030015825</c:v>
                </c:pt>
                <c:pt idx="3">
                  <c:v>16.068451210979731</c:v>
                </c:pt>
                <c:pt idx="4">
                  <c:v>16.337147127375484</c:v>
                </c:pt>
                <c:pt idx="5">
                  <c:v>16.502721789024118</c:v>
                </c:pt>
                <c:pt idx="6">
                  <c:v>16.614982108793651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B4-4E91-A31A-F65B49352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2mm'!$A$84:$A$90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2mm'!$B$84:$B$90</c:f>
              <c:numCache>
                <c:formatCode>General</c:formatCode>
                <c:ptCount val="7"/>
                <c:pt idx="0">
                  <c:v>0</c:v>
                </c:pt>
                <c:pt idx="1">
                  <c:v>4.7</c:v>
                </c:pt>
                <c:pt idx="2">
                  <c:v>5</c:v>
                </c:pt>
                <c:pt idx="3">
                  <c:v>5.0999999999999996</c:v>
                </c:pt>
                <c:pt idx="4">
                  <c:v>5.5</c:v>
                </c:pt>
                <c:pt idx="5">
                  <c:v>5.5</c:v>
                </c:pt>
                <c:pt idx="6">
                  <c:v>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A2-4F1E-A153-B593BECFC053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2mm'!$A$84:$A$90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2mm'!$C$84:$C$90</c:f>
              <c:numCache>
                <c:formatCode>General</c:formatCode>
                <c:ptCount val="7"/>
                <c:pt idx="0">
                  <c:v>0</c:v>
                </c:pt>
                <c:pt idx="1">
                  <c:v>5.5999999999998824</c:v>
                </c:pt>
                <c:pt idx="2">
                  <c:v>5.6</c:v>
                </c:pt>
                <c:pt idx="3">
                  <c:v>5.6</c:v>
                </c:pt>
                <c:pt idx="4">
                  <c:v>5.6</c:v>
                </c:pt>
                <c:pt idx="5">
                  <c:v>5.6</c:v>
                </c:pt>
                <c:pt idx="6">
                  <c:v>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A2-4F1E-A153-B593BECFC053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2mm'!$A$84:$A$90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2mm'!$F$84:$F$90</c:f>
              <c:numCache>
                <c:formatCode>General</c:formatCode>
                <c:ptCount val="7"/>
                <c:pt idx="0">
                  <c:v>0</c:v>
                </c:pt>
                <c:pt idx="1">
                  <c:v>4.6843229523732814</c:v>
                </c:pt>
                <c:pt idx="2">
                  <c:v>5.1013972732617949</c:v>
                </c:pt>
                <c:pt idx="3">
                  <c:v>5.3893031193918839</c:v>
                </c:pt>
                <c:pt idx="4">
                  <c:v>5.3390831123791287</c:v>
                </c:pt>
                <c:pt idx="5">
                  <c:v>5.3893031193918839</c:v>
                </c:pt>
                <c:pt idx="6">
                  <c:v>5.4233112971560971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A2-4F1E-A153-B593BECFC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2mm'!$A$57:$A$63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2mm'!$B$57:$B$63</c:f>
              <c:numCache>
                <c:formatCode>General</c:formatCode>
                <c:ptCount val="7"/>
                <c:pt idx="0">
                  <c:v>0</c:v>
                </c:pt>
                <c:pt idx="1">
                  <c:v>66.900000000000006</c:v>
                </c:pt>
                <c:pt idx="2">
                  <c:v>67.7</c:v>
                </c:pt>
                <c:pt idx="3">
                  <c:v>69.3</c:v>
                </c:pt>
                <c:pt idx="4">
                  <c:v>69.8</c:v>
                </c:pt>
                <c:pt idx="5">
                  <c:v>70.5</c:v>
                </c:pt>
                <c:pt idx="6">
                  <c:v>76.7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0D-409D-B198-5944B2DD6CF6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2mm'!$A$57:$A$63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2mm'!$C$57:$C$63</c:f>
              <c:numCache>
                <c:formatCode>General</c:formatCode>
                <c:ptCount val="7"/>
                <c:pt idx="0">
                  <c:v>0</c:v>
                </c:pt>
                <c:pt idx="1">
                  <c:v>76.699999999977621</c:v>
                </c:pt>
                <c:pt idx="2">
                  <c:v>76.7</c:v>
                </c:pt>
                <c:pt idx="3">
                  <c:v>76.7</c:v>
                </c:pt>
                <c:pt idx="4">
                  <c:v>76.7</c:v>
                </c:pt>
                <c:pt idx="5">
                  <c:v>76.7</c:v>
                </c:pt>
                <c:pt idx="6">
                  <c:v>76.7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0D-409D-B198-5944B2DD6CF6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2mm'!$A$57:$A$63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2mm'!$F$57:$F$63</c:f>
              <c:numCache>
                <c:formatCode>General</c:formatCode>
                <c:ptCount val="7"/>
                <c:pt idx="0">
                  <c:v>0</c:v>
                </c:pt>
                <c:pt idx="1">
                  <c:v>63.50926444140871</c:v>
                </c:pt>
                <c:pt idx="2">
                  <c:v>69.484147171910038</c:v>
                </c:pt>
                <c:pt idx="3">
                  <c:v>71.733689753739014</c:v>
                </c:pt>
                <c:pt idx="4">
                  <c:v>72.913981319987826</c:v>
                </c:pt>
                <c:pt idx="5">
                  <c:v>73.640985615041416</c:v>
                </c:pt>
                <c:pt idx="6">
                  <c:v>74.133763207529356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0D-409D-B198-5944B2DD6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2mm'!$A$30:$A$36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2mm'!$B$30:$B$36</c:f>
              <c:numCache>
                <c:formatCode>General</c:formatCode>
                <c:ptCount val="7"/>
                <c:pt idx="0">
                  <c:v>0</c:v>
                </c:pt>
                <c:pt idx="1">
                  <c:v>8</c:v>
                </c:pt>
                <c:pt idx="2">
                  <c:v>8.1999999999999993</c:v>
                </c:pt>
                <c:pt idx="3">
                  <c:v>8.4</c:v>
                </c:pt>
                <c:pt idx="4">
                  <c:v>8.5</c:v>
                </c:pt>
                <c:pt idx="5">
                  <c:v>8.6999999999999993</c:v>
                </c:pt>
                <c:pt idx="6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42-4FAD-B758-ADC3D8FFA304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2mm'!$A$30:$A$36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2mm'!$C$30:$C$36</c:f>
              <c:numCache>
                <c:formatCode>General</c:formatCode>
                <c:ptCount val="7"/>
                <c:pt idx="0">
                  <c:v>0</c:v>
                </c:pt>
                <c:pt idx="1">
                  <c:v>8.6999999999999957</c:v>
                </c:pt>
                <c:pt idx="2">
                  <c:v>8.6999999999999993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42-4FAD-B758-ADC3D8FFA304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2mm'!$A$30:$A$36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2mm'!$F$30:$F$36</c:f>
              <c:numCache>
                <c:formatCode>General</c:formatCode>
                <c:ptCount val="7"/>
                <c:pt idx="0">
                  <c:v>0</c:v>
                </c:pt>
                <c:pt idx="1">
                  <c:v>7.9756222029455275</c:v>
                </c:pt>
                <c:pt idx="2">
                  <c:v>8.3220778596638674</c:v>
                </c:pt>
                <c:pt idx="3">
                  <c:v>8.4443501540689798</c:v>
                </c:pt>
                <c:pt idx="4">
                  <c:v>8.5068436387125477</c:v>
                </c:pt>
                <c:pt idx="5">
                  <c:v>8.5447857011034944</c:v>
                </c:pt>
                <c:pt idx="6">
                  <c:v>8.5702690017637089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42-4FAD-B758-ADC3D8FFA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2mm'!$B$3:$B$9</c:f>
              <c:numCache>
                <c:formatCode>General</c:formatCode>
                <c:ptCount val="7"/>
                <c:pt idx="0">
                  <c:v>0</c:v>
                </c:pt>
                <c:pt idx="1">
                  <c:v>115.5</c:v>
                </c:pt>
                <c:pt idx="2">
                  <c:v>115.7</c:v>
                </c:pt>
                <c:pt idx="3">
                  <c:v>120.2</c:v>
                </c:pt>
                <c:pt idx="4">
                  <c:v>120.2</c:v>
                </c:pt>
                <c:pt idx="5">
                  <c:v>121.6</c:v>
                </c:pt>
                <c:pt idx="6">
                  <c:v>121.9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84-4997-8894-BA8754AFDAD3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2mm'!$C$3:$C$9</c:f>
              <c:numCache>
                <c:formatCode>General</c:formatCode>
                <c:ptCount val="7"/>
                <c:pt idx="0">
                  <c:v>0</c:v>
                </c:pt>
                <c:pt idx="1">
                  <c:v>114.80823908304502</c:v>
                </c:pt>
                <c:pt idx="2">
                  <c:v>121.48742352007179</c:v>
                </c:pt>
                <c:pt idx="3">
                  <c:v>121.87599759019189</c:v>
                </c:pt>
                <c:pt idx="4">
                  <c:v>121.89860361483356</c:v>
                </c:pt>
                <c:pt idx="5">
                  <c:v>121.89991876267639</c:v>
                </c:pt>
                <c:pt idx="6">
                  <c:v>121.89999527386648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84-4997-8894-BA8754AFDAD3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2mm'!$F$3:$F$9</c:f>
              <c:numCache>
                <c:formatCode>General</c:formatCode>
                <c:ptCount val="7"/>
                <c:pt idx="0">
                  <c:v>0</c:v>
                </c:pt>
                <c:pt idx="1">
                  <c:v>114.90159041455361</c:v>
                </c:pt>
                <c:pt idx="2">
                  <c:v>118.29738007260663</c:v>
                </c:pt>
                <c:pt idx="3">
                  <c:v>119.47435765450061</c:v>
                </c:pt>
                <c:pt idx="4">
                  <c:v>120.07167294240885</c:v>
                </c:pt>
                <c:pt idx="5">
                  <c:v>120.43293758294715</c:v>
                </c:pt>
                <c:pt idx="6">
                  <c:v>120.67499082839771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84-4997-8894-BA8754AF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2mm'!$B$220:$B$226</c:f>
              <c:numCache>
                <c:formatCode>General</c:formatCode>
                <c:ptCount val="7"/>
                <c:pt idx="0">
                  <c:v>0</c:v>
                </c:pt>
                <c:pt idx="1">
                  <c:v>585.1</c:v>
                </c:pt>
                <c:pt idx="2">
                  <c:v>592.70000000000005</c:v>
                </c:pt>
                <c:pt idx="3">
                  <c:v>597.9</c:v>
                </c:pt>
                <c:pt idx="4">
                  <c:v>592.70000000000005</c:v>
                </c:pt>
                <c:pt idx="5">
                  <c:v>604.70000000000005</c:v>
                </c:pt>
                <c:pt idx="6">
                  <c:v>624.5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67-4B27-B996-6CF3277D5FCF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2mm'!$C$220:$C$226</c:f>
              <c:numCache>
                <c:formatCode>General</c:formatCode>
                <c:ptCount val="7"/>
                <c:pt idx="0">
                  <c:v>0</c:v>
                </c:pt>
                <c:pt idx="1">
                  <c:v>580.62794525866161</c:v>
                </c:pt>
                <c:pt idx="2">
                  <c:v>621.4179228387078</c:v>
                </c:pt>
                <c:pt idx="3">
                  <c:v>624.28347949089311</c:v>
                </c:pt>
                <c:pt idx="4">
                  <c:v>624.48478911188454</c:v>
                </c:pt>
                <c:pt idx="5">
                  <c:v>624.49893141246423</c:v>
                </c:pt>
                <c:pt idx="6">
                  <c:v>624.49992493013474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67-4B27-B996-6CF3277D5FCF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2mm'!$F$220:$F$226</c:f>
              <c:numCache>
                <c:formatCode>General</c:formatCode>
                <c:ptCount val="7"/>
                <c:pt idx="0">
                  <c:v>0</c:v>
                </c:pt>
                <c:pt idx="1">
                  <c:v>573.56293088624795</c:v>
                </c:pt>
                <c:pt idx="2">
                  <c:v>597.94864043326413</c:v>
                </c:pt>
                <c:pt idx="3">
                  <c:v>606.54462897729866</c:v>
                </c:pt>
                <c:pt idx="4">
                  <c:v>610.93597489416834</c:v>
                </c:pt>
                <c:pt idx="5">
                  <c:v>613.60143695850127</c:v>
                </c:pt>
                <c:pt idx="6">
                  <c:v>615.39137067841932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67-4B27-B996-6CF3277D5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2mm'!$B$246:$B$252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0.7</c:v>
                </c:pt>
                <c:pt idx="3">
                  <c:v>0.7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D5-498C-A0B1-3421BEAC944E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2mm'!$C$246:$C$252</c:f>
              <c:numCache>
                <c:formatCode>General</c:formatCode>
                <c:ptCount val="7"/>
                <c:pt idx="0">
                  <c:v>0</c:v>
                </c:pt>
                <c:pt idx="1">
                  <c:v>0.49369334111668856</c:v>
                </c:pt>
                <c:pt idx="2">
                  <c:v>0.68272028840467835</c:v>
                </c:pt>
                <c:pt idx="3">
                  <c:v>0.75509555423304831</c:v>
                </c:pt>
                <c:pt idx="4">
                  <c:v>0.78280683656014771</c:v>
                </c:pt>
                <c:pt idx="5">
                  <c:v>0.79341702443888018</c:v>
                </c:pt>
                <c:pt idx="6">
                  <c:v>0.79747948843795369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D5-498C-A0B1-3421BEAC944E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2mm'!$F$246:$F$252</c:f>
              <c:numCache>
                <c:formatCode>General</c:formatCode>
                <c:ptCount val="7"/>
                <c:pt idx="0">
                  <c:v>0</c:v>
                </c:pt>
                <c:pt idx="1">
                  <c:v>0.57675421251101522</c:v>
                </c:pt>
                <c:pt idx="2">
                  <c:v>0.67027704119717102</c:v>
                </c:pt>
                <c:pt idx="3">
                  <c:v>0.70857647312722816</c:v>
                </c:pt>
                <c:pt idx="4">
                  <c:v>0.72941577394301027</c:v>
                </c:pt>
                <c:pt idx="5">
                  <c:v>0.74251829371679945</c:v>
                </c:pt>
                <c:pt idx="6">
                  <c:v>0.75151798877878362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D5-498C-A0B1-3421BEAC9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2mm'!$B$272:$B$278</c:f>
              <c:numCache>
                <c:formatCode>General</c:formatCode>
                <c:ptCount val="7"/>
                <c:pt idx="0">
                  <c:v>0</c:v>
                </c:pt>
                <c:pt idx="1">
                  <c:v>0.79</c:v>
                </c:pt>
                <c:pt idx="2">
                  <c:v>1.0900000000000001</c:v>
                </c:pt>
                <c:pt idx="3">
                  <c:v>2.39</c:v>
                </c:pt>
                <c:pt idx="4">
                  <c:v>2.59</c:v>
                </c:pt>
                <c:pt idx="5">
                  <c:v>3.69</c:v>
                </c:pt>
                <c:pt idx="6">
                  <c:v>4.8899999999999997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EE-4CA4-8DC7-02DA656D58FA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2mm'!$C$272:$C$278</c:f>
              <c:numCache>
                <c:formatCode>General</c:formatCode>
                <c:ptCount val="7"/>
                <c:pt idx="0">
                  <c:v>0</c:v>
                </c:pt>
                <c:pt idx="1">
                  <c:v>1.0479393712321294</c:v>
                </c:pt>
                <c:pt idx="2">
                  <c:v>1.8713026840228701</c:v>
                </c:pt>
                <c:pt idx="3">
                  <c:v>2.5182171558521524</c:v>
                </c:pt>
                <c:pt idx="4">
                  <c:v>3.026496219736702</c:v>
                </c:pt>
                <c:pt idx="5">
                  <c:v>3.4258497943333919</c:v>
                </c:pt>
                <c:pt idx="6">
                  <c:v>3.7396208875676784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EE-4CA4-8DC7-02DA656D58FA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2mm'!$A$193:$A$199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2mm'!$F$272:$F$278</c:f>
              <c:numCache>
                <c:formatCode>General</c:formatCode>
                <c:ptCount val="7"/>
                <c:pt idx="0">
                  <c:v>0</c:v>
                </c:pt>
                <c:pt idx="1">
                  <c:v>1.3053201025086172</c:v>
                </c:pt>
                <c:pt idx="2">
                  <c:v>2.0605925749284588</c:v>
                </c:pt>
                <c:pt idx="3">
                  <c:v>2.5529881957266096</c:v>
                </c:pt>
                <c:pt idx="4">
                  <c:v>2.8994068010104526</c:v>
                </c:pt>
                <c:pt idx="5">
                  <c:v>3.1563832879823077</c:v>
                </c:pt>
                <c:pt idx="6">
                  <c:v>3.3545968228918785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EE-4CA4-8DC7-02DA656D5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0.85mm'!$B$3:$B$9</c:f>
              <c:numCache>
                <c:formatCode>General</c:formatCode>
                <c:ptCount val="7"/>
                <c:pt idx="0">
                  <c:v>0</c:v>
                </c:pt>
                <c:pt idx="1">
                  <c:v>94.7</c:v>
                </c:pt>
                <c:pt idx="2">
                  <c:v>124.8</c:v>
                </c:pt>
                <c:pt idx="3">
                  <c:v>124.4</c:v>
                </c:pt>
                <c:pt idx="4">
                  <c:v>125.1</c:v>
                </c:pt>
                <c:pt idx="5">
                  <c:v>125.7</c:v>
                </c:pt>
                <c:pt idx="6">
                  <c:v>132.6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7-464E-8F62-0D39BBD98018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0.85mm'!$C$3:$C$9</c:f>
              <c:numCache>
                <c:formatCode>General</c:formatCode>
                <c:ptCount val="7"/>
                <c:pt idx="0">
                  <c:v>0</c:v>
                </c:pt>
                <c:pt idx="1">
                  <c:v>94.427918392545635</c:v>
                </c:pt>
                <c:pt idx="2">
                  <c:v>121.61125328622808</c:v>
                </c:pt>
                <c:pt idx="3">
                  <c:v>129.43662642291289</c:v>
                </c:pt>
                <c:pt idx="4">
                  <c:v>131.68934725234215</c:v>
                </c:pt>
                <c:pt idx="5">
                  <c:v>132.33784682504034</c:v>
                </c:pt>
                <c:pt idx="6">
                  <c:v>132.52453293824877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7-464E-8F62-0D39BBD98018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0.85mm'!$F$3:$F$9</c:f>
              <c:numCache>
                <c:formatCode>General</c:formatCode>
                <c:ptCount val="7"/>
                <c:pt idx="0">
                  <c:v>0</c:v>
                </c:pt>
                <c:pt idx="1">
                  <c:v>103.49862748367693</c:v>
                </c:pt>
                <c:pt idx="2">
                  <c:v>116.25580504727317</c:v>
                </c:pt>
                <c:pt idx="3">
                  <c:v>121.23700474835879</c:v>
                </c:pt>
                <c:pt idx="4">
                  <c:v>123.89118064848886</c:v>
                </c:pt>
                <c:pt idx="5">
                  <c:v>125.54021084089302</c:v>
                </c:pt>
                <c:pt idx="6">
                  <c:v>126.66417054179581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27-464E-8F62-0D39BBD98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0.85mm'!$A$29:$A$35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0.85mm'!$B$29:$B$35</c:f>
              <c:numCache>
                <c:formatCode>General</c:formatCode>
                <c:ptCount val="7"/>
                <c:pt idx="0">
                  <c:v>0</c:v>
                </c:pt>
                <c:pt idx="1">
                  <c:v>7.3</c:v>
                </c:pt>
                <c:pt idx="2">
                  <c:v>8.5</c:v>
                </c:pt>
                <c:pt idx="3">
                  <c:v>8.5</c:v>
                </c:pt>
                <c:pt idx="4">
                  <c:v>8.6</c:v>
                </c:pt>
                <c:pt idx="5">
                  <c:v>8.9</c:v>
                </c:pt>
                <c:pt idx="6">
                  <c:v>9.3000000000000007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58-454F-BD97-ADF167DB02A3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0.85mm'!$A$29:$A$35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0.85mm'!$C$29:$C$35</c:f>
              <c:numCache>
                <c:formatCode>General</c:formatCode>
                <c:ptCount val="7"/>
                <c:pt idx="0">
                  <c:v>0</c:v>
                </c:pt>
                <c:pt idx="1">
                  <c:v>9.2999999999989935</c:v>
                </c:pt>
                <c:pt idx="2">
                  <c:v>9.3000000000000007</c:v>
                </c:pt>
                <c:pt idx="3">
                  <c:v>9.3000000000000007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58-454F-BD97-ADF167DB02A3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0.85mm'!$A$29:$A$35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0.85mm'!$F$29:$F$35</c:f>
              <c:numCache>
                <c:formatCode>General</c:formatCode>
                <c:ptCount val="7"/>
                <c:pt idx="0">
                  <c:v>0</c:v>
                </c:pt>
                <c:pt idx="1">
                  <c:v>7.4480726698639952</c:v>
                </c:pt>
                <c:pt idx="2">
                  <c:v>8.2716473943144937</c:v>
                </c:pt>
                <c:pt idx="3">
                  <c:v>8.5881955398909646</c:v>
                </c:pt>
                <c:pt idx="4">
                  <c:v>8.7557323500601516</c:v>
                </c:pt>
                <c:pt idx="5">
                  <c:v>8.8594291388169797</c:v>
                </c:pt>
                <c:pt idx="6">
                  <c:v>8.9299357604710998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58-454F-BD97-ADF167DB0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0.85mm'!$A$56:$A$62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0.85mm'!$B$56:$B$62</c:f>
              <c:numCache>
                <c:formatCode>General</c:formatCode>
                <c:ptCount val="7"/>
                <c:pt idx="0">
                  <c:v>0</c:v>
                </c:pt>
                <c:pt idx="1">
                  <c:v>67.8</c:v>
                </c:pt>
                <c:pt idx="2">
                  <c:v>88.2</c:v>
                </c:pt>
                <c:pt idx="3">
                  <c:v>87</c:v>
                </c:pt>
                <c:pt idx="4">
                  <c:v>89.4</c:v>
                </c:pt>
                <c:pt idx="5">
                  <c:v>90.4</c:v>
                </c:pt>
                <c:pt idx="6">
                  <c:v>95.7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D5-4E88-BC86-5D5EB7F88A56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0.85mm'!$A$56:$A$62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0.85mm'!$C$56:$C$62</c:f>
              <c:numCache>
                <c:formatCode>General</c:formatCode>
                <c:ptCount val="7"/>
                <c:pt idx="0">
                  <c:v>0</c:v>
                </c:pt>
                <c:pt idx="1">
                  <c:v>95.699999999984342</c:v>
                </c:pt>
                <c:pt idx="2">
                  <c:v>95.7</c:v>
                </c:pt>
                <c:pt idx="3">
                  <c:v>95.7</c:v>
                </c:pt>
                <c:pt idx="4">
                  <c:v>95.7</c:v>
                </c:pt>
                <c:pt idx="5">
                  <c:v>95.7</c:v>
                </c:pt>
                <c:pt idx="6">
                  <c:v>95.7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D5-4E88-BC86-5D5EB7F88A56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0.85mm'!$A$56:$A$62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0.85mm'!$F$56:$F$62</c:f>
              <c:numCache>
                <c:formatCode>General</c:formatCode>
                <c:ptCount val="7"/>
                <c:pt idx="0">
                  <c:v>0</c:v>
                </c:pt>
                <c:pt idx="1">
                  <c:v>72.966441511085094</c:v>
                </c:pt>
                <c:pt idx="2">
                  <c:v>82.801159377657399</c:v>
                </c:pt>
                <c:pt idx="3">
                  <c:v>86.696252164944198</c:v>
                </c:pt>
                <c:pt idx="4">
                  <c:v>88.784532045270865</c:v>
                </c:pt>
                <c:pt idx="5">
                  <c:v>90.086497110943867</c:v>
                </c:pt>
                <c:pt idx="6">
                  <c:v>90.975897077996834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D5-4E88-BC86-5D5EB7F88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0.85mm'!$A$82:$A$88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0.85mm'!$B$82:$B$88</c:f>
              <c:numCache>
                <c:formatCode>General</c:formatCode>
                <c:ptCount val="7"/>
                <c:pt idx="0">
                  <c:v>0</c:v>
                </c:pt>
                <c:pt idx="1">
                  <c:v>3.59</c:v>
                </c:pt>
                <c:pt idx="2">
                  <c:v>3.69</c:v>
                </c:pt>
                <c:pt idx="3">
                  <c:v>4.29</c:v>
                </c:pt>
                <c:pt idx="4">
                  <c:v>4.6900000000000004</c:v>
                </c:pt>
                <c:pt idx="5">
                  <c:v>4.6900000000000004</c:v>
                </c:pt>
                <c:pt idx="6">
                  <c:v>5.09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B3-4583-89EE-7FE628061CB8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0.85mm'!$A$82:$A$88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0.85mm'!$C$82:$C$88</c:f>
              <c:numCache>
                <c:formatCode>General</c:formatCode>
                <c:ptCount val="7"/>
                <c:pt idx="0">
                  <c:v>0</c:v>
                </c:pt>
                <c:pt idx="1">
                  <c:v>5.0899999999911438</c:v>
                </c:pt>
                <c:pt idx="2">
                  <c:v>5.09</c:v>
                </c:pt>
                <c:pt idx="3">
                  <c:v>5.09</c:v>
                </c:pt>
                <c:pt idx="4">
                  <c:v>5.09</c:v>
                </c:pt>
                <c:pt idx="5">
                  <c:v>5.09</c:v>
                </c:pt>
                <c:pt idx="6">
                  <c:v>5.09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B3-4583-89EE-7FE628061CB8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0.85mm'!$A$82:$A$88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0.85mm'!$F$82:$F$88</c:f>
              <c:numCache>
                <c:formatCode>General</c:formatCode>
                <c:ptCount val="7"/>
                <c:pt idx="0">
                  <c:v>0</c:v>
                </c:pt>
                <c:pt idx="1">
                  <c:v>3.4393563493697279</c:v>
                </c:pt>
                <c:pt idx="2">
                  <c:v>4.1049577720094987</c:v>
                </c:pt>
                <c:pt idx="3">
                  <c:v>4.388021734401482</c:v>
                </c:pt>
                <c:pt idx="4">
                  <c:v>4.544715827435942</c:v>
                </c:pt>
                <c:pt idx="5">
                  <c:v>4.6442215446130941</c:v>
                </c:pt>
                <c:pt idx="6">
                  <c:v>4.7130152797679683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B3-4583-89EE-7FE628061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0.85mm'!$A$109:$A$115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0.85mm'!$B$109:$B$115</c:f>
              <c:numCache>
                <c:formatCode>General</c:formatCode>
                <c:ptCount val="7"/>
                <c:pt idx="0">
                  <c:v>0</c:v>
                </c:pt>
                <c:pt idx="1">
                  <c:v>15.5</c:v>
                </c:pt>
                <c:pt idx="2">
                  <c:v>15.6</c:v>
                </c:pt>
                <c:pt idx="3">
                  <c:v>16</c:v>
                </c:pt>
                <c:pt idx="4">
                  <c:v>17.100000000000001</c:v>
                </c:pt>
                <c:pt idx="5">
                  <c:v>17.5</c:v>
                </c:pt>
                <c:pt idx="6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78-4125-99D1-8BC3485BDA84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0.85mm'!$A$109:$A$115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0.85mm'!$C$109:$C$115</c:f>
              <c:numCache>
                <c:formatCode>General</c:formatCode>
                <c:ptCount val="7"/>
                <c:pt idx="0">
                  <c:v>0</c:v>
                </c:pt>
                <c:pt idx="1">
                  <c:v>14.959117874549973</c:v>
                </c:pt>
                <c:pt idx="2">
                  <c:v>17.131081029975345</c:v>
                </c:pt>
                <c:pt idx="3">
                  <c:v>17.446435450475711</c:v>
                </c:pt>
                <c:pt idx="4">
                  <c:v>17.492222788203197</c:v>
                </c:pt>
                <c:pt idx="5">
                  <c:v>17.49887080123198</c:v>
                </c:pt>
                <c:pt idx="6">
                  <c:v>17.499836047944815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78-4125-99D1-8BC3485BDA84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0.85mm'!$A$109:$A$115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0.85mm'!$F$109:$F$115</c:f>
              <c:numCache>
                <c:formatCode>General</c:formatCode>
                <c:ptCount val="7"/>
                <c:pt idx="0">
                  <c:v>0</c:v>
                </c:pt>
                <c:pt idx="1">
                  <c:v>15.166965271888056</c:v>
                </c:pt>
                <c:pt idx="2">
                  <c:v>16.250171391736405</c:v>
                </c:pt>
                <c:pt idx="3">
                  <c:v>16.646461365858396</c:v>
                </c:pt>
                <c:pt idx="4">
                  <c:v>16.851944012646758</c:v>
                </c:pt>
                <c:pt idx="5">
                  <c:v>16.977686773388498</c:v>
                </c:pt>
                <c:pt idx="6">
                  <c:v>17.062562986031317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78-4125-99D1-8BC3485BD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0.85mm'!$A$137:$A$143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0.85mm'!$B$137:$B$143</c:f>
              <c:numCache>
                <c:formatCode>General</c:formatCode>
                <c:ptCount val="7"/>
                <c:pt idx="0">
                  <c:v>0</c:v>
                </c:pt>
                <c:pt idx="1">
                  <c:v>19.2</c:v>
                </c:pt>
                <c:pt idx="2">
                  <c:v>20.100000000000001</c:v>
                </c:pt>
                <c:pt idx="3">
                  <c:v>24.5</c:v>
                </c:pt>
                <c:pt idx="4">
                  <c:v>24.5</c:v>
                </c:pt>
                <c:pt idx="5">
                  <c:v>24.7</c:v>
                </c:pt>
                <c:pt idx="6">
                  <c:v>27.2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AB-49B5-B765-4AA5394D4B0B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0.85mm'!$A$137:$A$143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0.85mm'!$C$137:$C$143</c:f>
              <c:numCache>
                <c:formatCode>General</c:formatCode>
                <c:ptCount val="7"/>
                <c:pt idx="0">
                  <c:v>0</c:v>
                </c:pt>
                <c:pt idx="1">
                  <c:v>15.937939932891439</c:v>
                </c:pt>
                <c:pt idx="2">
                  <c:v>22.536985406060243</c:v>
                </c:pt>
                <c:pt idx="3">
                  <c:v>25.269295939310538</c:v>
                </c:pt>
                <c:pt idx="4">
                  <c:v>26.400599077084735</c:v>
                </c:pt>
                <c:pt idx="5">
                  <c:v>26.869010984868613</c:v>
                </c:pt>
                <c:pt idx="6">
                  <c:v>27.062955214339603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AB-49B5-B765-4AA5394D4B0B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0.85mm'!$A$137:$A$143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0.85mm'!$F$137:$F$143</c:f>
              <c:numCache>
                <c:formatCode>General</c:formatCode>
                <c:ptCount val="7"/>
                <c:pt idx="0">
                  <c:v>0</c:v>
                </c:pt>
                <c:pt idx="1">
                  <c:v>18.723564557683762</c:v>
                </c:pt>
                <c:pt idx="2">
                  <c:v>22.17950461268309</c:v>
                </c:pt>
                <c:pt idx="3">
                  <c:v>23.63357644514187</c:v>
                </c:pt>
                <c:pt idx="4">
                  <c:v>24.434531297830286</c:v>
                </c:pt>
                <c:pt idx="5">
                  <c:v>24.941704107297259</c:v>
                </c:pt>
                <c:pt idx="6">
                  <c:v>25.291680194943041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AB-49B5-B765-4AA5394D4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0.85mm'!$A$164:$A$170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0.85mm'!$B$164:$B$170</c:f>
              <c:numCache>
                <c:formatCode>General</c:formatCode>
                <c:ptCount val="7"/>
                <c:pt idx="0">
                  <c:v>0</c:v>
                </c:pt>
                <c:pt idx="1">
                  <c:v>4.79</c:v>
                </c:pt>
                <c:pt idx="2">
                  <c:v>6.89</c:v>
                </c:pt>
                <c:pt idx="3">
                  <c:v>7.59</c:v>
                </c:pt>
                <c:pt idx="4">
                  <c:v>8.39</c:v>
                </c:pt>
                <c:pt idx="5">
                  <c:v>8.59</c:v>
                </c:pt>
                <c:pt idx="6">
                  <c:v>8.89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9C-430B-999F-7DFDDC8D08EF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0.85mm'!$A$164:$A$170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0.85mm'!$C$164:$C$170</c:f>
              <c:numCache>
                <c:formatCode>General</c:formatCode>
                <c:ptCount val="7"/>
                <c:pt idx="0">
                  <c:v>0</c:v>
                </c:pt>
                <c:pt idx="1">
                  <c:v>4.6148021441008131</c:v>
                </c:pt>
                <c:pt idx="2">
                  <c:v>6.8340588630950503</c:v>
                </c:pt>
                <c:pt idx="3">
                  <c:v>7.9012986343812175</c:v>
                </c:pt>
                <c:pt idx="4">
                  <c:v>8.4145338629451061</c:v>
                </c:pt>
                <c:pt idx="5">
                  <c:v>8.6613485028470478</c:v>
                </c:pt>
                <c:pt idx="6">
                  <c:v>8.7800415758856651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9C-430B-999F-7DFDDC8D08EF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0.85mm'!$A$164:$A$170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0.85mm'!$F$164:$F$170</c:f>
              <c:numCache>
                <c:formatCode>General</c:formatCode>
                <c:ptCount val="7"/>
                <c:pt idx="0">
                  <c:v>0</c:v>
                </c:pt>
                <c:pt idx="1">
                  <c:v>5.6507770995112629</c:v>
                </c:pt>
                <c:pt idx="2">
                  <c:v>6.9095906045274038</c:v>
                </c:pt>
                <c:pt idx="3">
                  <c:v>7.4638249120645241</c:v>
                </c:pt>
                <c:pt idx="4">
                  <c:v>7.7756774858010322</c:v>
                </c:pt>
                <c:pt idx="5">
                  <c:v>7.9756192656062996</c:v>
                </c:pt>
                <c:pt idx="6">
                  <c:v>8.1147259219222132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9C-430B-999F-7DFDDC8D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0.85mm'!$B$191:$B$197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11-4BCA-AB59-AB85C64A2403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0.85mm'!$C$191:$C$197</c:f>
              <c:numCache>
                <c:formatCode>General</c:formatCode>
                <c:ptCount val="7"/>
                <c:pt idx="0">
                  <c:v>0</c:v>
                </c:pt>
                <c:pt idx="1">
                  <c:v>4.7461890770805371E-2</c:v>
                </c:pt>
                <c:pt idx="2">
                  <c:v>7.2397470786212156E-2</c:v>
                </c:pt>
                <c:pt idx="3">
                  <c:v>8.5498153051639769E-2</c:v>
                </c:pt>
                <c:pt idx="4">
                  <c:v>9.2381003810019888E-2</c:v>
                </c:pt>
                <c:pt idx="5">
                  <c:v>9.5997123459540076E-2</c:v>
                </c:pt>
                <c:pt idx="6">
                  <c:v>9.7896964350863355E-2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11-4BCA-AB59-AB85C64A2403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0.85mm'!$F$191:$F$197</c:f>
              <c:numCache>
                <c:formatCode>General</c:formatCode>
                <c:ptCount val="7"/>
                <c:pt idx="0">
                  <c:v>0</c:v>
                </c:pt>
                <c:pt idx="1">
                  <c:v>5.6377837854484317E-2</c:v>
                </c:pt>
                <c:pt idx="2">
                  <c:v>7.2104639158582173E-2</c:v>
                </c:pt>
                <c:pt idx="3">
                  <c:v>7.9496592981525421E-2</c:v>
                </c:pt>
                <c:pt idx="4">
                  <c:v>8.3791627594817925E-2</c:v>
                </c:pt>
                <c:pt idx="5">
                  <c:v>8.6598881435164629E-2</c:v>
                </c:pt>
                <c:pt idx="6">
                  <c:v>8.8577272315923633E-2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11-4BCA-AB59-AB85C64A2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0.85mm'!$B$219:$B$225</c:f>
              <c:numCache>
                <c:formatCode>General</c:formatCode>
                <c:ptCount val="7"/>
                <c:pt idx="0">
                  <c:v>0</c:v>
                </c:pt>
                <c:pt idx="1">
                  <c:v>488.7</c:v>
                </c:pt>
                <c:pt idx="2">
                  <c:v>523.4</c:v>
                </c:pt>
                <c:pt idx="3">
                  <c:v>596.20000000000005</c:v>
                </c:pt>
                <c:pt idx="4">
                  <c:v>641.70000000000005</c:v>
                </c:pt>
                <c:pt idx="5">
                  <c:v>646.20000000000005</c:v>
                </c:pt>
                <c:pt idx="6">
                  <c:v>668.6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8B-4ECA-ADF6-F4ADB5F77C97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0.85mm'!$C$219:$C$225</c:f>
              <c:numCache>
                <c:formatCode>General</c:formatCode>
                <c:ptCount val="7"/>
                <c:pt idx="0">
                  <c:v>0</c:v>
                </c:pt>
                <c:pt idx="1">
                  <c:v>426.57607791000902</c:v>
                </c:pt>
                <c:pt idx="2">
                  <c:v>580.99069867810056</c:v>
                </c:pt>
                <c:pt idx="3">
                  <c:v>636.88664864270129</c:v>
                </c:pt>
                <c:pt idx="4">
                  <c:v>657.12020688287259</c:v>
                </c:pt>
                <c:pt idx="5">
                  <c:v>664.44447419235894</c:v>
                </c:pt>
                <c:pt idx="6">
                  <c:v>667.09575732229814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8B-4ECA-ADF6-F4ADB5F77C97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0.85mm'!$F$219:$F$225</c:f>
              <c:numCache>
                <c:formatCode>General</c:formatCode>
                <c:ptCount val="7"/>
                <c:pt idx="0">
                  <c:v>0</c:v>
                </c:pt>
                <c:pt idx="1">
                  <c:v>489.98792817014868</c:v>
                </c:pt>
                <c:pt idx="2">
                  <c:v>565.52622517304474</c:v>
                </c:pt>
                <c:pt idx="3">
                  <c:v>596.16170074542924</c:v>
                </c:pt>
                <c:pt idx="4">
                  <c:v>612.75877043724665</c:v>
                </c:pt>
                <c:pt idx="5">
                  <c:v>623.16812561482607</c:v>
                </c:pt>
                <c:pt idx="6">
                  <c:v>630.30642512889119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8B-4ECA-ADF6-F4ADB5F77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0.85mm'!$B$245:$B$251</c:f>
              <c:numCache>
                <c:formatCode>General</c:formatCode>
                <c:ptCount val="7"/>
                <c:pt idx="0">
                  <c:v>0</c:v>
                </c:pt>
                <c:pt idx="1">
                  <c:v>0.4</c:v>
                </c:pt>
                <c:pt idx="2">
                  <c:v>0.7</c:v>
                </c:pt>
                <c:pt idx="3">
                  <c:v>0.7</c:v>
                </c:pt>
                <c:pt idx="4">
                  <c:v>0.8</c:v>
                </c:pt>
                <c:pt idx="5">
                  <c:v>0.8</c:v>
                </c:pt>
                <c:pt idx="6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00-4BF1-AAAC-D94FC881E929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0.85mm'!$C$245:$C$251</c:f>
              <c:numCache>
                <c:formatCode>General</c:formatCode>
                <c:ptCount val="7"/>
                <c:pt idx="0">
                  <c:v>0</c:v>
                </c:pt>
                <c:pt idx="1">
                  <c:v>0.40489131074903506</c:v>
                </c:pt>
                <c:pt idx="2">
                  <c:v>0.62763042869799057</c:v>
                </c:pt>
                <c:pt idx="3">
                  <c:v>0.75016384284534987</c:v>
                </c:pt>
                <c:pt idx="4">
                  <c:v>0.81757201847639949</c:v>
                </c:pt>
                <c:pt idx="5">
                  <c:v>0.85465465567805265</c:v>
                </c:pt>
                <c:pt idx="6">
                  <c:v>0.87505458445458562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00-4BF1-AAAC-D94FC881E929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0.85mm'!$F$245:$F$251</c:f>
              <c:numCache>
                <c:formatCode>General</c:formatCode>
                <c:ptCount val="7"/>
                <c:pt idx="0">
                  <c:v>0</c:v>
                </c:pt>
                <c:pt idx="1">
                  <c:v>0.50787887712526769</c:v>
                </c:pt>
                <c:pt idx="2">
                  <c:v>0.64933283230453742</c:v>
                </c:pt>
                <c:pt idx="3">
                  <c:v>0.71578620271573912</c:v>
                </c:pt>
                <c:pt idx="4">
                  <c:v>0.75438864637603431</c:v>
                </c:pt>
                <c:pt idx="5">
                  <c:v>0.77961550618993425</c:v>
                </c:pt>
                <c:pt idx="6">
                  <c:v>0.79739210715057574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00-4BF1-AAAC-D94FC881E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Ct vs Time: Experimental and Kinetic Model Comparison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9.894743047359357E-2"/>
          <c:y val="0.17228007036870421"/>
          <c:w val="0.60605591211194965"/>
          <c:h val="0.50107381764850034"/>
        </c:manualLayout>
      </c:layout>
      <c:scatterChart>
        <c:scatterStyle val="smoothMarker"/>
        <c:varyColors val="0"/>
        <c:ser>
          <c:idx val="0"/>
          <c:order val="0"/>
          <c:tx>
            <c:v>Experimental Concentration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0.85mm'!$B$272:$B$278</c:f>
              <c:numCache>
                <c:formatCode>General</c:formatCode>
                <c:ptCount val="7"/>
                <c:pt idx="0">
                  <c:v>0</c:v>
                </c:pt>
                <c:pt idx="1">
                  <c:v>1.0900000000000001</c:v>
                </c:pt>
                <c:pt idx="2">
                  <c:v>2.09</c:v>
                </c:pt>
                <c:pt idx="3">
                  <c:v>2.09</c:v>
                </c:pt>
                <c:pt idx="4">
                  <c:v>2.4900000000000002</c:v>
                </c:pt>
                <c:pt idx="5">
                  <c:v>4.29</c:v>
                </c:pt>
                <c:pt idx="6">
                  <c:v>4.99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7A-425C-9CC0-5810E99C085A}"/>
            </c:ext>
          </c:extLst>
        </c:ser>
        <c:ser>
          <c:idx val="1"/>
          <c:order val="1"/>
          <c:tx>
            <c:v>Model First-Order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0.85mm'!$C$272:$C$278</c:f>
              <c:numCache>
                <c:formatCode>General</c:formatCode>
                <c:ptCount val="7"/>
                <c:pt idx="0">
                  <c:v>0</c:v>
                </c:pt>
                <c:pt idx="1">
                  <c:v>1.1711355872413431</c:v>
                </c:pt>
                <c:pt idx="2">
                  <c:v>2.067409738870837</c:v>
                </c:pt>
                <c:pt idx="3">
                  <c:v>2.7533314746891402</c:v>
                </c:pt>
                <c:pt idx="4">
                  <c:v>3.2782697726559062</c:v>
                </c:pt>
                <c:pt idx="5">
                  <c:v>3.6800068838782281</c:v>
                </c:pt>
                <c:pt idx="6">
                  <c:v>3.9874576969706901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7A-425C-9CC0-5810E99C085A}"/>
            </c:ext>
          </c:extLst>
        </c:ser>
        <c:ser>
          <c:idx val="2"/>
          <c:order val="2"/>
          <c:tx>
            <c:v>Model Second-Order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'Hasil EFB 0.85mm'!$A$191:$A$197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'Hasil EFB 0.85mm'!$F$272:$F$278</c:f>
              <c:numCache>
                <c:formatCode>General</c:formatCode>
                <c:ptCount val="7"/>
                <c:pt idx="0">
                  <c:v>0</c:v>
                </c:pt>
                <c:pt idx="1">
                  <c:v>1.5003648111080803</c:v>
                </c:pt>
                <c:pt idx="2">
                  <c:v>2.3070568836487695</c:v>
                </c:pt>
                <c:pt idx="3">
                  <c:v>2.8108148171904666</c:v>
                </c:pt>
                <c:pt idx="4">
                  <c:v>3.1553033045977497</c:v>
                </c:pt>
                <c:pt idx="5">
                  <c:v>3.4057445153252695</c:v>
                </c:pt>
                <c:pt idx="6">
                  <c:v>3.5960258681879611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7A-425C-9CC0-5810E99C0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69439"/>
        <c:axId val="1085461279"/>
      </c:scatterChart>
      <c:valAx>
        <c:axId val="108546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1279"/>
        <c:crosses val="autoZero"/>
        <c:crossBetween val="midCat"/>
      </c:valAx>
      <c:valAx>
        <c:axId val="1085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 L^-1)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6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1297988845512584E-2"/>
          <c:y val="0.80958865030338278"/>
          <c:w val="0.96457430848529302"/>
          <c:h val="0.140044693636460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852698</xdr:colOff>
      <xdr:row>7</xdr:row>
      <xdr:rowOff>38291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6E385-2A02-B7CC-E0FF-A32C83F5A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82641" cy="1371791"/>
        </a:xfrm>
        <a:prstGeom prst="rect">
          <a:avLst/>
        </a:prstGeom>
      </xdr:spPr>
    </xdr:pic>
    <xdr:clientData/>
  </xdr:twoCellAnchor>
  <xdr:oneCellAnchor>
    <xdr:from>
      <xdr:col>7</xdr:col>
      <xdr:colOff>858395</xdr:colOff>
      <xdr:row>3</xdr:row>
      <xdr:rowOff>179294</xdr:rowOff>
    </xdr:from>
    <xdr:ext cx="329427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E9877D-473E-7C45-C0BF-2F3BE41B1050}"/>
            </a:ext>
          </a:extLst>
        </xdr:cNvPr>
        <xdr:cNvSpPr txBox="1"/>
      </xdr:nvSpPr>
      <xdr:spPr>
        <a:xfrm flipH="1">
          <a:off x="10697160" y="750794"/>
          <a:ext cx="329427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E505355-FB07-738F-5DA7-2A796A5C2025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9993396-C6C1-2B1A-E11D-E9CE848BA4F3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171450</xdr:rowOff>
    </xdr:from>
    <xdr:to>
      <xdr:col>3</xdr:col>
      <xdr:colOff>166420</xdr:colOff>
      <xdr:row>13</xdr:row>
      <xdr:rowOff>114425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8863053-7CD2-5908-B5C6-16A7D4443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5425" y="1695450"/>
          <a:ext cx="2962688" cy="89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1961030</xdr:colOff>
      <xdr:row>10</xdr:row>
      <xdr:rowOff>37353</xdr:rowOff>
    </xdr:from>
    <xdr:to>
      <xdr:col>6</xdr:col>
      <xdr:colOff>65464</xdr:colOff>
      <xdr:row>25</xdr:row>
      <xdr:rowOff>22039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19FD990-2C0D-4311-B0DE-F90314EAF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1161850</xdr:colOff>
      <xdr:row>15</xdr:row>
      <xdr:rowOff>181858</xdr:rowOff>
    </xdr:from>
    <xdr:ext cx="2013150" cy="8234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EA14951-03D3-2736-E55E-EAF69C627783}"/>
                </a:ext>
              </a:extLst>
            </xdr:cNvPr>
            <xdr:cNvSpPr txBox="1"/>
          </xdr:nvSpPr>
          <xdr:spPr>
            <a:xfrm>
              <a:off x="7976644" y="2931343"/>
              <a:ext cx="2013150" cy="8234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05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05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:146,2</m:t>
                    </m:r>
                  </m:oMath>
                </m:oMathPara>
              </a14:m>
              <a:endParaRPr lang="en-US" sz="105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050"/>
                <a:t>K1                                      : 0,369029774</a:t>
              </a:r>
            </a:p>
            <a:p>
              <a:r>
                <a:rPr lang="en-ID" sz="1050"/>
                <a:t>K2                                      : 0,008233212</a:t>
              </a:r>
            </a:p>
            <a:p>
              <a:r>
                <a:rPr lang="en-ID" sz="1050"/>
                <a:t>R^2 (First-Order)</a:t>
              </a:r>
              <a:r>
                <a:rPr lang="en-ID" sz="1050" baseline="0"/>
                <a:t>        : 0,982917238</a:t>
              </a:r>
            </a:p>
            <a:p>
              <a:r>
                <a:rPr lang="en-ID" sz="1050" baseline="0"/>
                <a:t>R^2 (Second-Order) : 0,997321047</a:t>
              </a: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BEA14951-03D3-2736-E55E-EAF69C627783}"/>
                </a:ext>
              </a:extLst>
            </xdr:cNvPr>
            <xdr:cNvSpPr txBox="1"/>
          </xdr:nvSpPr>
          <xdr:spPr>
            <a:xfrm>
              <a:off x="7976644" y="2931343"/>
              <a:ext cx="2013150" cy="8234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05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</a:t>
              </a:r>
              <a:r>
                <a:rPr lang="en-US" sz="105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                      </a:t>
              </a:r>
              <a:r>
                <a:rPr lang="en-ID" sz="105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:146,2</a:t>
              </a:r>
              <a:endParaRPr lang="en-US" sz="105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D" sz="1050"/>
                <a:t>K1                                      : 0,369029774</a:t>
              </a:r>
            </a:p>
            <a:p>
              <a:r>
                <a:rPr lang="en-ID" sz="1050"/>
                <a:t>K2                                      : 0,008233212</a:t>
              </a:r>
            </a:p>
            <a:p>
              <a:r>
                <a:rPr lang="en-ID" sz="1050"/>
                <a:t>R^2 (First-Order)</a:t>
              </a:r>
              <a:r>
                <a:rPr lang="en-ID" sz="1050" baseline="0"/>
                <a:t>        : 0,982917238</a:t>
              </a:r>
            </a:p>
            <a:p>
              <a:r>
                <a:rPr lang="en-ID" sz="1050" baseline="0"/>
                <a:t>R^2 (Second-Order) : 0,997321047</a:t>
              </a:r>
            </a:p>
          </xdr:txBody>
        </xdr:sp>
      </mc:Fallback>
    </mc:AlternateContent>
    <xdr:clientData/>
  </xdr:oneCellAnchor>
  <xdr:twoCellAnchor>
    <xdr:from>
      <xdr:col>1</xdr:col>
      <xdr:colOff>1905000</xdr:colOff>
      <xdr:row>36</xdr:row>
      <xdr:rowOff>151555</xdr:rowOff>
    </xdr:from>
    <xdr:to>
      <xdr:col>6</xdr:col>
      <xdr:colOff>32703</xdr:colOff>
      <xdr:row>51</xdr:row>
      <xdr:rowOff>136241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0CEE5E3-CD34-4591-B10C-08D02810F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1021836</xdr:colOff>
      <xdr:row>42</xdr:row>
      <xdr:rowOff>52384</xdr:rowOff>
    </xdr:from>
    <xdr:ext cx="2015232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A5C2C1B7-B244-8810-F92A-42F1631C148D}"/>
                </a:ext>
              </a:extLst>
            </xdr:cNvPr>
            <xdr:cNvSpPr txBox="1"/>
          </xdr:nvSpPr>
          <xdr:spPr>
            <a:xfrm>
              <a:off x="7837503" y="7757051"/>
              <a:ext cx="2015232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:7,4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7,399999998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0,665826178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0,991474905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0,997026921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A5C2C1B7-B244-8810-F92A-42F1631C148D}"/>
                </a:ext>
              </a:extLst>
            </xdr:cNvPr>
            <xdr:cNvSpPr txBox="1"/>
          </xdr:nvSpPr>
          <xdr:spPr>
            <a:xfrm>
              <a:off x="7837503" y="7757051"/>
              <a:ext cx="2015232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:7,4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7,399999998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0,665826178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(First-Order)</a:t>
              </a:r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   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0,991474905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(Second-Order)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0,997026921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1850958</xdr:colOff>
      <xdr:row>64</xdr:row>
      <xdr:rowOff>13511</xdr:rowOff>
    </xdr:from>
    <xdr:to>
      <xdr:col>6</xdr:col>
      <xdr:colOff>1781</xdr:colOff>
      <xdr:row>78</xdr:row>
      <xdr:rowOff>181642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EEDFD33-F022-4EF5-B0F2-80A29EF6D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318910</xdr:colOff>
      <xdr:row>55</xdr:row>
      <xdr:rowOff>36689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0C2AF58-BB72-0DB9-CE17-AD6537F256AE}"/>
            </a:ext>
          </a:extLst>
        </xdr:cNvPr>
        <xdr:cNvSpPr txBox="1"/>
      </xdr:nvSpPr>
      <xdr:spPr>
        <a:xfrm>
          <a:off x="12708466" y="101261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990841</xdr:colOff>
      <xdr:row>69</xdr:row>
      <xdr:rowOff>116551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3505F47-54F4-C02C-7ADF-E30A1EE4A6BF}"/>
                </a:ext>
              </a:extLst>
            </xdr:cNvPr>
            <xdr:cNvSpPr txBox="1"/>
          </xdr:nvSpPr>
          <xdr:spPr>
            <a:xfrm>
              <a:off x="7813713" y="13167828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:97,3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6,206096498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0,007197754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0,875395455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0,986501102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3505F47-54F4-C02C-7ADF-E30A1EE4A6BF}"/>
                </a:ext>
              </a:extLst>
            </xdr:cNvPr>
            <xdr:cNvSpPr txBox="1"/>
          </xdr:nvSpPr>
          <xdr:spPr>
            <a:xfrm>
              <a:off x="7813713" y="13167828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97,3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6,206096498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0,007197754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0,875395455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0,986501102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1342571</xdr:colOff>
      <xdr:row>91</xdr:row>
      <xdr:rowOff>18143</xdr:rowOff>
    </xdr:from>
    <xdr:to>
      <xdr:col>5</xdr:col>
      <xdr:colOff>1020481</xdr:colOff>
      <xdr:row>106</xdr:row>
      <xdr:rowOff>4845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75B8CAC-0E0E-4758-A602-39D8F0DA2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566906</xdr:colOff>
      <xdr:row>96</xdr:row>
      <xdr:rowOff>88244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E058ACE-96B0-A295-157E-24A76D31ADAE}"/>
                </a:ext>
              </a:extLst>
            </xdr:cNvPr>
            <xdr:cNvSpPr txBox="1"/>
          </xdr:nvSpPr>
          <xdr:spPr>
            <a:xfrm>
              <a:off x="7388620" y="17505387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:5,19</m:t>
                    </m:r>
                  </m:oMath>
                </m:oMathPara>
              </a14:m>
              <a:endParaRPr lang="en-ID">
                <a:effectLst/>
              </a:endParaRPr>
            </a:p>
            <a:p>
              <a:pPr algn="l"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5,638801718</m:t>
                    </m:r>
                  </m:oMath>
                </m:oMathPara>
              </a14:m>
              <a:endParaRPr lang="en-ID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   </m:t>
                    </m:r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0,058431960</m:t>
                    </m:r>
                  </m:oMath>
                </m:oMathPara>
              </a14:m>
              <a:endParaRPr lang="en-ID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0,511694209</m:t>
                    </m:r>
                  </m:oMath>
                </m:oMathPara>
              </a14:m>
              <a:endParaRPr lang="en-ID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0,909069154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E058ACE-96B0-A295-157E-24A76D31ADAE}"/>
                </a:ext>
              </a:extLst>
            </xdr:cNvPr>
            <xdr:cNvSpPr txBox="1"/>
          </xdr:nvSpPr>
          <xdr:spPr>
            <a:xfrm>
              <a:off x="7388620" y="17505387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5,19</a:t>
              </a:r>
              <a:endParaRPr lang="en-ID">
                <a:effectLst/>
              </a:endParaRPr>
            </a:p>
            <a:p>
              <a:pPr algn="l"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5,638801718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pPr algn="l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0,058431960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pPr algn="l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0,511694209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pPr algn="l"/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0,909069154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1803977</xdr:colOff>
      <xdr:row>117</xdr:row>
      <xdr:rowOff>173183</xdr:rowOff>
    </xdr:from>
    <xdr:to>
      <xdr:col>5</xdr:col>
      <xdr:colOff>1384163</xdr:colOff>
      <xdr:row>132</xdr:row>
      <xdr:rowOff>153700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D413504D-6175-48F0-AB07-7CF0FB43A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4</xdr:col>
      <xdr:colOff>944635</xdr:colOff>
      <xdr:row>123</xdr:row>
      <xdr:rowOff>57665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D5DF8D45-3AAD-95BA-EC26-9B5F5448383D}"/>
                </a:ext>
              </a:extLst>
            </xdr:cNvPr>
            <xdr:cNvSpPr txBox="1"/>
          </xdr:nvSpPr>
          <xdr:spPr>
            <a:xfrm>
              <a:off x="7756453" y="23134142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:2,6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4,912485894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0,069659603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0,068373664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0,922955583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D5DF8D45-3AAD-95BA-EC26-9B5F5448383D}"/>
                </a:ext>
              </a:extLst>
            </xdr:cNvPr>
            <xdr:cNvSpPr txBox="1"/>
          </xdr:nvSpPr>
          <xdr:spPr>
            <a:xfrm>
              <a:off x="7756453" y="23134142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2,6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4,912485894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0,069659603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0,068373664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0,922955583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1791765</xdr:colOff>
      <xdr:row>144</xdr:row>
      <xdr:rowOff>179843</xdr:rowOff>
    </xdr:from>
    <xdr:to>
      <xdr:col>5</xdr:col>
      <xdr:colOff>1403034</xdr:colOff>
      <xdr:row>159</xdr:row>
      <xdr:rowOff>160361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51908097-D90F-45CB-A3EF-E9835DF6D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4</xdr:col>
      <xdr:colOff>954145</xdr:colOff>
      <xdr:row>150</xdr:row>
      <xdr:rowOff>20831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F002DB0-F6D8-94D6-8715-F2D70CA9B985}"/>
                </a:ext>
              </a:extLst>
            </xdr:cNvPr>
            <xdr:cNvSpPr txBox="1"/>
          </xdr:nvSpPr>
          <xdr:spPr>
            <a:xfrm>
              <a:off x="7768183" y="27496793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:23,2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0,254902546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0,035076371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0,999849501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0,977854640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F002DB0-F6D8-94D6-8715-F2D70CA9B985}"/>
                </a:ext>
              </a:extLst>
            </xdr:cNvPr>
            <xdr:cNvSpPr txBox="1"/>
          </xdr:nvSpPr>
          <xdr:spPr>
            <a:xfrm>
              <a:off x="7768183" y="27496793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23,2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0,254902546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0,035076371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0,999849501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0,977854640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1846514</xdr:colOff>
      <xdr:row>172</xdr:row>
      <xdr:rowOff>136896</xdr:rowOff>
    </xdr:from>
    <xdr:to>
      <xdr:col>5</xdr:col>
      <xdr:colOff>1369731</xdr:colOff>
      <xdr:row>187</xdr:row>
      <xdr:rowOff>117414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6ED64ED-922B-4405-81BD-C99768937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4</xdr:col>
      <xdr:colOff>938068</xdr:colOff>
      <xdr:row>178</xdr:row>
      <xdr:rowOff>146139</xdr:rowOff>
    </xdr:from>
    <xdr:ext cx="2076209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C587BA7-8E14-3F4E-645E-F818DF9B8203}"/>
                </a:ext>
              </a:extLst>
            </xdr:cNvPr>
            <xdr:cNvSpPr txBox="1"/>
          </xdr:nvSpPr>
          <xdr:spPr>
            <a:xfrm>
              <a:off x="7755963" y="32865350"/>
              <a:ext cx="2076209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:8,59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0,095611713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0,017543226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0,878190370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−0,96518981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C587BA7-8E14-3F4E-645E-F818DF9B8203}"/>
                </a:ext>
              </a:extLst>
            </xdr:cNvPr>
            <xdr:cNvSpPr txBox="1"/>
          </xdr:nvSpPr>
          <xdr:spPr>
            <a:xfrm>
              <a:off x="7755963" y="32865350"/>
              <a:ext cx="2076209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8,59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0,095611713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0,017543226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0,878190370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-0,96518981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1659194</xdr:colOff>
      <xdr:row>200</xdr:row>
      <xdr:rowOff>40967</xdr:rowOff>
    </xdr:from>
    <xdr:to>
      <xdr:col>5</xdr:col>
      <xdr:colOff>1303159</xdr:colOff>
      <xdr:row>215</xdr:row>
      <xdr:rowOff>20946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D8BB75BA-C202-4AD6-9A46-AC5C84F13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4</xdr:col>
      <xdr:colOff>876753</xdr:colOff>
      <xdr:row>205</xdr:row>
      <xdr:rowOff>169197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2DC5FE2E-AE9E-7DE1-1DA4-846ED72BB53E}"/>
                </a:ext>
              </a:extLst>
            </xdr:cNvPr>
            <xdr:cNvSpPr txBox="1"/>
          </xdr:nvSpPr>
          <xdr:spPr>
            <a:xfrm>
              <a:off x="7697882" y="37961939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:0,1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5368709,220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0,267387191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1,000000000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−1,28193282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2DC5FE2E-AE9E-7DE1-1DA4-846ED72BB53E}"/>
                </a:ext>
              </a:extLst>
            </xdr:cNvPr>
            <xdr:cNvSpPr txBox="1"/>
          </xdr:nvSpPr>
          <xdr:spPr>
            <a:xfrm>
              <a:off x="7697882" y="37961939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0,1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5368709,220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0,267387191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1,000000000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-1,28193282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2</xdr:col>
      <xdr:colOff>0</xdr:colOff>
      <xdr:row>225</xdr:row>
      <xdr:rowOff>139391</xdr:rowOff>
    </xdr:from>
    <xdr:to>
      <xdr:col>7</xdr:col>
      <xdr:colOff>186038</xdr:colOff>
      <xdr:row>240</xdr:row>
      <xdr:rowOff>119370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D3C7E-19E8-4283-94F3-714F27BB7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5</xdr:col>
      <xdr:colOff>58619</xdr:colOff>
      <xdr:row>230</xdr:row>
      <xdr:rowOff>176074</xdr:rowOff>
    </xdr:from>
    <xdr:ext cx="2783191" cy="11333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BED7AA-A456-DC29-633F-37D975CA4E5E}"/>
                </a:ext>
              </a:extLst>
            </xdr:cNvPr>
            <xdr:cNvSpPr txBox="1"/>
          </xdr:nvSpPr>
          <xdr:spPr>
            <a:xfrm>
              <a:off x="8487732" y="42577687"/>
              <a:ext cx="2783191" cy="1133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:570,7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0,31217327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00197391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0,589499388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0,942088708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BED7AA-A456-DC29-633F-37D975CA4E5E}"/>
                </a:ext>
              </a:extLst>
            </xdr:cNvPr>
            <xdr:cNvSpPr txBox="1"/>
          </xdr:nvSpPr>
          <xdr:spPr>
            <a:xfrm>
              <a:off x="8487732" y="42577687"/>
              <a:ext cx="2783191" cy="1133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570,7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0,31217327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00197391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0,589499388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0,942088708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2</xdr:col>
      <xdr:colOff>0</xdr:colOff>
      <xdr:row>251</xdr:row>
      <xdr:rowOff>0</xdr:rowOff>
    </xdr:from>
    <xdr:to>
      <xdr:col>7</xdr:col>
      <xdr:colOff>186038</xdr:colOff>
      <xdr:row>265</xdr:row>
      <xdr:rowOff>167593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F1E11-B0C5-4ECC-985B-22A682BCE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5</xdr:col>
      <xdr:colOff>311377</xdr:colOff>
      <xdr:row>256</xdr:row>
      <xdr:rowOff>13722</xdr:rowOff>
    </xdr:from>
    <xdr:ext cx="2205284" cy="961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4B2A78-EF44-F98E-8C0A-95A2529867EA}"/>
                </a:ext>
              </a:extLst>
            </xdr:cNvPr>
            <xdr:cNvSpPr txBox="1"/>
          </xdr:nvSpPr>
          <xdr:spPr>
            <a:xfrm>
              <a:off x="8789303" y="46706488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:1,6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0,125048271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0,17722517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0,956034088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ID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976011086</m:t>
                    </m:r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4B2A78-EF44-F98E-8C0A-95A2529867EA}"/>
                </a:ext>
              </a:extLst>
            </xdr:cNvPr>
            <xdr:cNvSpPr txBox="1"/>
          </xdr:nvSpPr>
          <xdr:spPr>
            <a:xfrm>
              <a:off x="8789303" y="46706488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1,6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0,125048271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0,17722517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0,956034088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976011086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twoCellAnchor>
    <xdr:from>
      <xdr:col>2</xdr:col>
      <xdr:colOff>0</xdr:colOff>
      <xdr:row>277</xdr:row>
      <xdr:rowOff>0</xdr:rowOff>
    </xdr:from>
    <xdr:to>
      <xdr:col>7</xdr:col>
      <xdr:colOff>186038</xdr:colOff>
      <xdr:row>291</xdr:row>
      <xdr:rowOff>167594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F2DDAC-D65A-4714-AF6B-950E8292E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5</xdr:col>
      <xdr:colOff>326081</xdr:colOff>
      <xdr:row>281</xdr:row>
      <xdr:rowOff>163041</xdr:rowOff>
    </xdr:from>
    <xdr:ext cx="2205284" cy="961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139623D-4B7E-22AA-C26D-F8B11639DBCB}"/>
                </a:ext>
              </a:extLst>
            </xdr:cNvPr>
            <xdr:cNvSpPr txBox="1"/>
          </xdr:nvSpPr>
          <xdr:spPr>
            <a:xfrm>
              <a:off x="8804189" y="50800000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:3.19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074914262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044519642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34232856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ID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28343023</m:t>
                    </m:r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139623D-4B7E-22AA-C26D-F8B11639DBCB}"/>
                </a:ext>
              </a:extLst>
            </xdr:cNvPr>
            <xdr:cNvSpPr txBox="1"/>
          </xdr:nvSpPr>
          <xdr:spPr>
            <a:xfrm>
              <a:off x="8804189" y="50800000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3.19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074914262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044519642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34232856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28343023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2248959</xdr:colOff>
      <xdr:row>200</xdr:row>
      <xdr:rowOff>158507</xdr:rowOff>
    </xdr:from>
    <xdr:to>
      <xdr:col>6</xdr:col>
      <xdr:colOff>962178</xdr:colOff>
      <xdr:row>216</xdr:row>
      <xdr:rowOff>4591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AD4A575-28C4-4F8A-AC9F-EC945E8C4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631592</xdr:colOff>
      <xdr:row>206</xdr:row>
      <xdr:rowOff>126781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F6DA637-BEE7-FAC5-A899-B217DEE214E5}"/>
                </a:ext>
              </a:extLst>
            </xdr:cNvPr>
            <xdr:cNvSpPr txBox="1"/>
          </xdr:nvSpPr>
          <xdr:spPr>
            <a:xfrm>
              <a:off x="8370655" y="38279698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:0,1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5368709,220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5368709,220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1,000000000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1,00000000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F6DA637-BEE7-FAC5-A899-B217DEE214E5}"/>
                </a:ext>
              </a:extLst>
            </xdr:cNvPr>
            <xdr:cNvSpPr txBox="1"/>
          </xdr:nvSpPr>
          <xdr:spPr>
            <a:xfrm>
              <a:off x="8370655" y="38279698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:0,1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5368709,220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5368709,220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1,000000000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1,00000000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2</xdr:col>
      <xdr:colOff>156307</xdr:colOff>
      <xdr:row>174</xdr:row>
      <xdr:rowOff>0</xdr:rowOff>
    </xdr:from>
    <xdr:to>
      <xdr:col>7</xdr:col>
      <xdr:colOff>117952</xdr:colOff>
      <xdr:row>189</xdr:row>
      <xdr:rowOff>31292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C5540C4-A9A3-464E-AD1D-4B8D10E99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810565</xdr:colOff>
      <xdr:row>180</xdr:row>
      <xdr:rowOff>30516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22ADB0A-BB4F-68F0-7661-0EA2FD803C47}"/>
                </a:ext>
              </a:extLst>
            </xdr:cNvPr>
            <xdr:cNvSpPr txBox="1"/>
          </xdr:nvSpPr>
          <xdr:spPr>
            <a:xfrm>
              <a:off x="8557565" y="33441285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:8,59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0,217419572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0,065310330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0,955930903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0,991239753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22ADB0A-BB4F-68F0-7661-0EA2FD803C47}"/>
                </a:ext>
              </a:extLst>
            </xdr:cNvPr>
            <xdr:cNvSpPr txBox="1"/>
          </xdr:nvSpPr>
          <xdr:spPr>
            <a:xfrm>
              <a:off x="8557565" y="33441285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8,59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0,217419572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0,065310330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0,955930903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0,991239753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1294902</xdr:colOff>
      <xdr:row>145</xdr:row>
      <xdr:rowOff>174315</xdr:rowOff>
    </xdr:from>
    <xdr:to>
      <xdr:col>6</xdr:col>
      <xdr:colOff>25241</xdr:colOff>
      <xdr:row>161</xdr:row>
      <xdr:rowOff>18842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5138B48-FDAC-4B35-A0D4-481177DA1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1170766</xdr:colOff>
      <xdr:row>152</xdr:row>
      <xdr:rowOff>6599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8BE44EC-AA27-CFB1-9E0A-AFCA23364957}"/>
                </a:ext>
              </a:extLst>
            </xdr:cNvPr>
            <xdr:cNvSpPr txBox="1"/>
          </xdr:nvSpPr>
          <xdr:spPr>
            <a:xfrm>
              <a:off x="7446060" y="28394834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:23,9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0,312001721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0,033644002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,947356971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87903309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8BE44EC-AA27-CFB1-9E0A-AFCA23364957}"/>
                </a:ext>
              </a:extLst>
            </xdr:cNvPr>
            <xdr:cNvSpPr txBox="1"/>
          </xdr:nvSpPr>
          <xdr:spPr>
            <a:xfrm>
              <a:off x="7446060" y="28394834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23,9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0,312001721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0,033644002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,947356971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87903309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1352315</xdr:colOff>
      <xdr:row>119</xdr:row>
      <xdr:rowOff>47036</xdr:rowOff>
    </xdr:from>
    <xdr:to>
      <xdr:col>6</xdr:col>
      <xdr:colOff>97871</xdr:colOff>
      <xdr:row>134</xdr:row>
      <xdr:rowOff>78329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4C71EEF-5D20-46CD-A0D8-6D01F4835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1250660</xdr:colOff>
      <xdr:row>125</xdr:row>
      <xdr:rowOff>54673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D9E38A8-C608-8A68-8751-7CC006F03250}"/>
                </a:ext>
              </a:extLst>
            </xdr:cNvPr>
            <xdr:cNvSpPr txBox="1"/>
          </xdr:nvSpPr>
          <xdr:spPr>
            <a:xfrm>
              <a:off x="7530104" y="23573192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:17,2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0,3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07140215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55040330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81710996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95496484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D9E38A8-C608-8A68-8751-7CC006F03250}"/>
                </a:ext>
              </a:extLst>
            </xdr:cNvPr>
            <xdr:cNvSpPr txBox="1"/>
          </xdr:nvSpPr>
          <xdr:spPr>
            <a:xfrm>
              <a:off x="7530104" y="23573192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17,2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07140215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55040330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81710996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95496484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0</xdr:col>
      <xdr:colOff>835526</xdr:colOff>
      <xdr:row>90</xdr:row>
      <xdr:rowOff>183197</xdr:rowOff>
    </xdr:from>
    <xdr:to>
      <xdr:col>5</xdr:col>
      <xdr:colOff>107155</xdr:colOff>
      <xdr:row>106</xdr:row>
      <xdr:rowOff>25105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6D3CBBC-26FD-4658-8AE1-74A881712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</xdr:col>
      <xdr:colOff>579854</xdr:colOff>
      <xdr:row>96</xdr:row>
      <xdr:rowOff>148376</xdr:rowOff>
    </xdr:from>
    <xdr:ext cx="2074542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A2D8877-5361-5907-BC1F-42E4D5C526ED}"/>
                </a:ext>
              </a:extLst>
            </xdr:cNvPr>
            <xdr:cNvSpPr txBox="1"/>
          </xdr:nvSpPr>
          <xdr:spPr>
            <a:xfrm>
              <a:off x="5804679" y="18329429"/>
              <a:ext cx="2074542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:5,6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6,300285643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,182703333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40270206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3214429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A2D8877-5361-5907-BC1F-42E4D5C526ED}"/>
                </a:ext>
              </a:extLst>
            </xdr:cNvPr>
            <xdr:cNvSpPr txBox="1"/>
          </xdr:nvSpPr>
          <xdr:spPr>
            <a:xfrm>
              <a:off x="5804679" y="18329429"/>
              <a:ext cx="2074542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5,6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6,300285643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,182703333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40270206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3214429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1258859</xdr:colOff>
      <xdr:row>64</xdr:row>
      <xdr:rowOff>11140</xdr:rowOff>
    </xdr:from>
    <xdr:to>
      <xdr:col>6</xdr:col>
      <xdr:colOff>18032</xdr:colOff>
      <xdr:row>79</xdr:row>
      <xdr:rowOff>42434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B48932B9-F65D-46CC-82AF-4C030E53E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4</xdr:col>
      <xdr:colOff>1134232</xdr:colOff>
      <xdr:row>70</xdr:row>
      <xdr:rowOff>8007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1D4F33E6-ECFF-5A3F-6775-7F82C6BFF01E}"/>
                </a:ext>
              </a:extLst>
            </xdr:cNvPr>
            <xdr:cNvSpPr txBox="1"/>
          </xdr:nvSpPr>
          <xdr:spPr>
            <a:xfrm>
              <a:off x="7416997" y="13081536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:76,7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5,772538489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012554595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25709151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89072840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1D4F33E6-ECFF-5A3F-6775-7F82C6BFF01E}"/>
                </a:ext>
              </a:extLst>
            </xdr:cNvPr>
            <xdr:cNvSpPr txBox="1"/>
          </xdr:nvSpPr>
          <xdr:spPr>
            <a:xfrm>
              <a:off x="7416997" y="13081536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76,7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5,772538489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012554595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25709151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89072840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1220391</xdr:colOff>
      <xdr:row>36</xdr:row>
      <xdr:rowOff>168672</xdr:rowOff>
    </xdr:from>
    <xdr:to>
      <xdr:col>5</xdr:col>
      <xdr:colOff>1696048</xdr:colOff>
      <xdr:row>52</xdr:row>
      <xdr:rowOff>11450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E58B6D1-9BC1-400E-8C6A-63C058D8E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4</xdr:col>
      <xdr:colOff>1115416</xdr:colOff>
      <xdr:row>42</xdr:row>
      <xdr:rowOff>148034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18559976-9FBB-C0D2-9A5E-84E352F1DF62}"/>
                </a:ext>
              </a:extLst>
            </xdr:cNvPr>
            <xdr:cNvSpPr txBox="1"/>
          </xdr:nvSpPr>
          <xdr:spPr>
            <a:xfrm>
              <a:off x="7395963" y="8065690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:8,7</m:t>
                    </m:r>
                  </m:oMath>
                </m:oMathPara>
              </a14:m>
              <a:endParaRPr lang="en-ID">
                <a:effectLst/>
              </a:endParaRPr>
            </a:p>
            <a:p>
              <a:pPr algn="l"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7,059849300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253110514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85763045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99043789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18559976-9FBB-C0D2-9A5E-84E352F1DF62}"/>
                </a:ext>
              </a:extLst>
            </xdr:cNvPr>
            <xdr:cNvSpPr txBox="1"/>
          </xdr:nvSpPr>
          <xdr:spPr>
            <a:xfrm>
              <a:off x="7395963" y="8065690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8,7</a:t>
              </a:r>
              <a:endParaRPr lang="en-ID">
                <a:effectLst/>
              </a:endParaRPr>
            </a:p>
            <a:p>
              <a:pPr algn="l"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7,059849300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253110514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85763045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99043789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2244396</xdr:colOff>
      <xdr:row>10</xdr:row>
      <xdr:rowOff>10948</xdr:rowOff>
    </xdr:from>
    <xdr:to>
      <xdr:col>6</xdr:col>
      <xdr:colOff>1001174</xdr:colOff>
      <xdr:row>25</xdr:row>
      <xdr:rowOff>39847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1715EE4-583F-4EBC-B834-F4444EF31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5</xdr:col>
      <xdr:colOff>730688</xdr:colOff>
      <xdr:row>15</xdr:row>
      <xdr:rowOff>51894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8D3EE16-1D45-8A4A-3128-605CADAD4B37}"/>
                </a:ext>
              </a:extLst>
            </xdr:cNvPr>
            <xdr:cNvSpPr txBox="1"/>
          </xdr:nvSpPr>
          <xdr:spPr>
            <a:xfrm>
              <a:off x="8471119" y="2843704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:121,9</m:t>
                    </m:r>
                  </m:oMath>
                </m:oMathPara>
              </a14:m>
              <a:endParaRPr lang="en-ID">
                <a:effectLst/>
              </a:endParaRPr>
            </a:p>
            <a:p>
              <a:pPr algn="l"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0,568853472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026937232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96745611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99139667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8D3EE16-1D45-8A4A-3128-605CADAD4B37}"/>
                </a:ext>
              </a:extLst>
            </xdr:cNvPr>
            <xdr:cNvSpPr txBox="1"/>
          </xdr:nvSpPr>
          <xdr:spPr>
            <a:xfrm>
              <a:off x="8471119" y="2843704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121,9</a:t>
              </a:r>
              <a:endParaRPr lang="en-ID">
                <a:effectLst/>
              </a:endParaRPr>
            </a:p>
            <a:p>
              <a:pPr algn="l"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0,568853472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026937232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96745611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99139667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2</xdr:col>
      <xdr:colOff>0</xdr:colOff>
      <xdr:row>227</xdr:row>
      <xdr:rowOff>0</xdr:rowOff>
    </xdr:from>
    <xdr:to>
      <xdr:col>6</xdr:col>
      <xdr:colOff>999219</xdr:colOff>
      <xdr:row>242</xdr:row>
      <xdr:rowOff>36584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6368F-1599-4C86-89EC-2D651D71E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5</xdr:col>
      <xdr:colOff>359834</xdr:colOff>
      <xdr:row>232</xdr:row>
      <xdr:rowOff>84668</xdr:rowOff>
    </xdr:from>
    <xdr:ext cx="2698749" cy="961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43E2281-995D-21BB-186E-8320E6DEAD8F}"/>
                </a:ext>
              </a:extLst>
            </xdr:cNvPr>
            <xdr:cNvSpPr txBox="1"/>
          </xdr:nvSpPr>
          <xdr:spPr>
            <a:xfrm>
              <a:off x="8085667" y="41825335"/>
              <a:ext cx="2698749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:624,5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0,531134756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0,003606157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0,990479008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0,997637978</m:t>
                    </m:r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43E2281-995D-21BB-186E-8320E6DEAD8F}"/>
                </a:ext>
              </a:extLst>
            </xdr:cNvPr>
            <xdr:cNvSpPr txBox="1"/>
          </xdr:nvSpPr>
          <xdr:spPr>
            <a:xfrm>
              <a:off x="8085667" y="41825335"/>
              <a:ext cx="2698749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624,5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0,531134756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0,003606157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0,990479008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0,997637978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twoCellAnchor>
    <xdr:from>
      <xdr:col>2</xdr:col>
      <xdr:colOff>0</xdr:colOff>
      <xdr:row>253</xdr:row>
      <xdr:rowOff>0</xdr:rowOff>
    </xdr:from>
    <xdr:to>
      <xdr:col>6</xdr:col>
      <xdr:colOff>999219</xdr:colOff>
      <xdr:row>268</xdr:row>
      <xdr:rowOff>36583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C42030-9FC7-4CF7-8102-3C46C6BAE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5</xdr:col>
      <xdr:colOff>598715</xdr:colOff>
      <xdr:row>257</xdr:row>
      <xdr:rowOff>172358</xdr:rowOff>
    </xdr:from>
    <xdr:ext cx="2205284" cy="961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E42D7B3-2EFB-DA78-7891-43B066905E83}"/>
                </a:ext>
              </a:extLst>
            </xdr:cNvPr>
            <xdr:cNvSpPr txBox="1"/>
          </xdr:nvSpPr>
          <xdr:spPr>
            <a:xfrm>
              <a:off x="8327572" y="46799501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:0,8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192004995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645873567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2687014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ID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65619374</m:t>
                    </m:r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E42D7B3-2EFB-DA78-7891-43B066905E83}"/>
                </a:ext>
              </a:extLst>
            </xdr:cNvPr>
            <xdr:cNvSpPr txBox="1"/>
          </xdr:nvSpPr>
          <xdr:spPr>
            <a:xfrm>
              <a:off x="8327572" y="46799501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0,8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192004995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645873567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2687014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65619374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twoCellAnchor>
    <xdr:from>
      <xdr:col>2</xdr:col>
      <xdr:colOff>0</xdr:colOff>
      <xdr:row>279</xdr:row>
      <xdr:rowOff>0</xdr:rowOff>
    </xdr:from>
    <xdr:to>
      <xdr:col>6</xdr:col>
      <xdr:colOff>999219</xdr:colOff>
      <xdr:row>294</xdr:row>
      <xdr:rowOff>36583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13ED14-1121-4D06-A3DF-C221C3D4F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5</xdr:col>
      <xdr:colOff>616594</xdr:colOff>
      <xdr:row>284</xdr:row>
      <xdr:rowOff>73623</xdr:rowOff>
    </xdr:from>
    <xdr:ext cx="2205284" cy="961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E28D208-41FA-E418-60C0-2277F296B372}"/>
                </a:ext>
              </a:extLst>
            </xdr:cNvPr>
            <xdr:cNvSpPr txBox="1"/>
          </xdr:nvSpPr>
          <xdr:spPr>
            <a:xfrm>
              <a:off x="8347029" y="52346087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:4,89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048236692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014893192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871383029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</m:t>
                    </m:r>
                    <m:r>
                      <m:rPr>
                        <m:nor/>
                      </m:rPr>
                      <a:rPr lang="en-ID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775642292</m:t>
                    </m:r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E28D208-41FA-E418-60C0-2277F296B372}"/>
                </a:ext>
              </a:extLst>
            </xdr:cNvPr>
            <xdr:cNvSpPr txBox="1"/>
          </xdr:nvSpPr>
          <xdr:spPr>
            <a:xfrm>
              <a:off x="8347029" y="52346087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4,89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048236692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014893192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871383029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775642292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1542143</xdr:colOff>
      <xdr:row>9</xdr:row>
      <xdr:rowOff>117929</xdr:rowOff>
    </xdr:from>
    <xdr:to>
      <xdr:col>7</xdr:col>
      <xdr:colOff>19643</xdr:colOff>
      <xdr:row>25</xdr:row>
      <xdr:rowOff>26555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B4DE591-DDBD-4DE6-9770-E1086C087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200477</xdr:colOff>
      <xdr:row>15</xdr:row>
      <xdr:rowOff>9978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94CFC29F-790C-5330-0BD0-0D9499783DB2}"/>
                </a:ext>
              </a:extLst>
            </xdr:cNvPr>
            <xdr:cNvSpPr txBox="1"/>
          </xdr:nvSpPr>
          <xdr:spPr>
            <a:xfrm>
              <a:off x="7602763" y="2731407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:132,6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249046545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05364232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0,99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0871839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85380763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94CFC29F-790C-5330-0BD0-0D9499783DB2}"/>
                </a:ext>
              </a:extLst>
            </xdr:cNvPr>
            <xdr:cNvSpPr txBox="1"/>
          </xdr:nvSpPr>
          <xdr:spPr>
            <a:xfrm>
              <a:off x="7602763" y="2731407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32,6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249046545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0,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05364232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0,9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0871839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85380763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646339</xdr:colOff>
      <xdr:row>36</xdr:row>
      <xdr:rowOff>11339</xdr:rowOff>
    </xdr:from>
    <xdr:to>
      <xdr:col>6</xdr:col>
      <xdr:colOff>29293</xdr:colOff>
      <xdr:row>51</xdr:row>
      <xdr:rowOff>109115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852B9D1-29EC-4D73-9800-0A2688C16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496717</xdr:colOff>
      <xdr:row>41</xdr:row>
      <xdr:rowOff>60155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0D1CD69-7EC7-43C4-A17E-E030D37F1B36}"/>
                </a:ext>
              </a:extLst>
            </xdr:cNvPr>
            <xdr:cNvSpPr txBox="1"/>
          </xdr:nvSpPr>
          <xdr:spPr>
            <a:xfrm>
              <a:off x="6707811" y="7789296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:9,3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5,970765690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86490222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07947842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96201568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0D1CD69-7EC7-43C4-A17E-E030D37F1B36}"/>
                </a:ext>
              </a:extLst>
            </xdr:cNvPr>
            <xdr:cNvSpPr txBox="1"/>
          </xdr:nvSpPr>
          <xdr:spPr>
            <a:xfrm>
              <a:off x="6707811" y="7789296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9,3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5,970765690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0,0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86490222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07947842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96201568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736022</xdr:colOff>
      <xdr:row>62</xdr:row>
      <xdr:rowOff>144319</xdr:rowOff>
    </xdr:from>
    <xdr:to>
      <xdr:col>6</xdr:col>
      <xdr:colOff>121989</xdr:colOff>
      <xdr:row>78</xdr:row>
      <xdr:rowOff>54479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4389FCD-2244-4717-8ADE-D37C507B0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595842</xdr:colOff>
      <xdr:row>68</xdr:row>
      <xdr:rowOff>87842</xdr:rowOff>
    </xdr:from>
    <xdr:ext cx="211256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7A60CE36-C240-EB87-199C-5419127ECE21}"/>
                </a:ext>
              </a:extLst>
            </xdr:cNvPr>
            <xdr:cNvSpPr txBox="1"/>
          </xdr:nvSpPr>
          <xdr:spPr>
            <a:xfrm>
              <a:off x="6811145" y="12736529"/>
              <a:ext cx="211256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:95,7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5,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888208481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06707703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857458137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88527329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7A60CE36-C240-EB87-199C-5419127ECE21}"/>
                </a:ext>
              </a:extLst>
            </xdr:cNvPr>
            <xdr:cNvSpPr txBox="1"/>
          </xdr:nvSpPr>
          <xdr:spPr>
            <a:xfrm>
              <a:off x="6811145" y="12736529"/>
              <a:ext cx="211256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5,7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888208481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0,0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06707703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857458137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88527329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1558636</xdr:colOff>
      <xdr:row>89</xdr:row>
      <xdr:rowOff>23092</xdr:rowOff>
    </xdr:from>
    <xdr:to>
      <xdr:col>7</xdr:col>
      <xdr:colOff>78694</xdr:colOff>
      <xdr:row>104</xdr:row>
      <xdr:rowOff>117979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1AC9892-67E0-4070-B2B0-136065FAD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230716</xdr:colOff>
      <xdr:row>94</xdr:row>
      <xdr:rowOff>144125</xdr:rowOff>
    </xdr:from>
    <xdr:ext cx="2092111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5167344-73FB-DABA-B0D7-24C769151E05}"/>
                </a:ext>
              </a:extLst>
            </xdr:cNvPr>
            <xdr:cNvSpPr txBox="1"/>
          </xdr:nvSpPr>
          <xdr:spPr>
            <a:xfrm>
              <a:off x="7619128" y="17700007"/>
              <a:ext cx="2092111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:5,09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5,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415443130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81872125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711813956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79385926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5167344-73FB-DABA-B0D7-24C769151E05}"/>
                </a:ext>
              </a:extLst>
            </xdr:cNvPr>
            <xdr:cNvSpPr txBox="1"/>
          </xdr:nvSpPr>
          <xdr:spPr>
            <a:xfrm>
              <a:off x="7619128" y="17700007"/>
              <a:ext cx="2092111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5,09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5,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415443130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0,0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81872125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711813956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79385926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1570789</xdr:colOff>
      <xdr:row>116</xdr:row>
      <xdr:rowOff>16710</xdr:rowOff>
    </xdr:from>
    <xdr:to>
      <xdr:col>6</xdr:col>
      <xdr:colOff>842034</xdr:colOff>
      <xdr:row>131</xdr:row>
      <xdr:rowOff>111597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DE8EE084-571B-4A88-A790-2C53EFA0B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5</xdr:col>
      <xdr:colOff>160161</xdr:colOff>
      <xdr:row>121</xdr:row>
      <xdr:rowOff>133703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62C71506-D23F-7C68-D3C8-89575F22E50C}"/>
                </a:ext>
              </a:extLst>
            </xdr:cNvPr>
            <xdr:cNvSpPr txBox="1"/>
          </xdr:nvSpPr>
          <xdr:spPr>
            <a:xfrm>
              <a:off x="7542036" y="22543911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:17,5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0,385937913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74296685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0,979545514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93811676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62C71506-D23F-7C68-D3C8-89575F22E50C}"/>
                </a:ext>
              </a:extLst>
            </xdr:cNvPr>
            <xdr:cNvSpPr txBox="1"/>
          </xdr:nvSpPr>
          <xdr:spPr>
            <a:xfrm>
              <a:off x="7542036" y="22543911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17,5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0,385937913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0,0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74296685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0,979545514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93811676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2730500</xdr:colOff>
      <xdr:row>143</xdr:row>
      <xdr:rowOff>127000</xdr:rowOff>
    </xdr:from>
    <xdr:to>
      <xdr:col>8</xdr:col>
      <xdr:colOff>33245</xdr:colOff>
      <xdr:row>159</xdr:row>
      <xdr:rowOff>31387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880738EF-21BD-4527-BD61-74B28BAF2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5</xdr:col>
      <xdr:colOff>1310608</xdr:colOff>
      <xdr:row>148</xdr:row>
      <xdr:rowOff>173881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5FE8A96-10EB-49D6-9870-1846FB1BAD1F}"/>
                </a:ext>
              </a:extLst>
            </xdr:cNvPr>
            <xdr:cNvSpPr txBox="1"/>
          </xdr:nvSpPr>
          <xdr:spPr>
            <a:xfrm>
              <a:off x="8711102" y="26859560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:27,2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176355483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16241883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50478179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82514345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5FE8A96-10EB-49D6-9870-1846FB1BAD1F}"/>
                </a:ext>
              </a:extLst>
            </xdr:cNvPr>
            <xdr:cNvSpPr txBox="1"/>
          </xdr:nvSpPr>
          <xdr:spPr>
            <a:xfrm>
              <a:off x="8711102" y="26859560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27,2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176355483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0,0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16241883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50478179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82514345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2</xdr:col>
      <xdr:colOff>-1</xdr:colOff>
      <xdr:row>170</xdr:row>
      <xdr:rowOff>143387</xdr:rowOff>
    </xdr:from>
    <xdr:to>
      <xdr:col>8</xdr:col>
      <xdr:colOff>95506</xdr:colOff>
      <xdr:row>186</xdr:row>
      <xdr:rowOff>43728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5A793C83-7D01-4260-85B2-007366827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6</xdr:col>
      <xdr:colOff>49775</xdr:colOff>
      <xdr:row>176</xdr:row>
      <xdr:rowOff>136831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9C8E2D29-DD05-D905-D4DB-E561F02B651A}"/>
                </a:ext>
              </a:extLst>
            </xdr:cNvPr>
            <xdr:cNvSpPr txBox="1"/>
          </xdr:nvSpPr>
          <xdr:spPr>
            <a:xfrm>
              <a:off x="8806630" y="32583283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:8,89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0,1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46419333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0,0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39246016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0,9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97530862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64867595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9C8E2D29-DD05-D905-D4DB-E561F02B651A}"/>
                </a:ext>
              </a:extLst>
            </xdr:cNvPr>
            <xdr:cNvSpPr txBox="1"/>
          </xdr:nvSpPr>
          <xdr:spPr>
            <a:xfrm>
              <a:off x="8806630" y="32583283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8,89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0,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46419333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0,0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39246016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97530862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64867595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1</xdr:col>
      <xdr:colOff>2727613</xdr:colOff>
      <xdr:row>198</xdr:row>
      <xdr:rowOff>43295</xdr:rowOff>
    </xdr:from>
    <xdr:to>
      <xdr:col>8</xdr:col>
      <xdr:colOff>66643</xdr:colOff>
      <xdr:row>213</xdr:row>
      <xdr:rowOff>131249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EF83562-E524-4FDC-BF07-A02DD1C07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6</xdr:col>
      <xdr:colOff>14758</xdr:colOff>
      <xdr:row>202</xdr:row>
      <xdr:rowOff>126313</xdr:rowOff>
    </xdr:from>
    <xdr:ext cx="2043636" cy="10410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380D2743-CCA0-A325-0B64-BE72C953F470}"/>
                </a:ext>
              </a:extLst>
            </xdr:cNvPr>
            <xdr:cNvSpPr txBox="1"/>
          </xdr:nvSpPr>
          <xdr:spPr>
            <a:xfrm>
              <a:off x="8758880" y="36527259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:0,1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0,1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28726278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2,584825469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768766960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653515296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380D2743-CCA0-A325-0B64-BE72C953F470}"/>
                </a:ext>
              </a:extLst>
            </xdr:cNvPr>
            <xdr:cNvSpPr txBox="1"/>
          </xdr:nvSpPr>
          <xdr:spPr>
            <a:xfrm>
              <a:off x="8758880" y="36527259"/>
              <a:ext cx="2043636" cy="10410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0,1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0,1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28726278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2,584825469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768766960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653515296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2</xdr:col>
      <xdr:colOff>0</xdr:colOff>
      <xdr:row>226</xdr:row>
      <xdr:rowOff>0</xdr:rowOff>
    </xdr:from>
    <xdr:to>
      <xdr:col>8</xdr:col>
      <xdr:colOff>95507</xdr:colOff>
      <xdr:row>241</xdr:row>
      <xdr:rowOff>87955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B2B57-FE5B-4C31-88B6-0084EC5F7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5</xdr:col>
      <xdr:colOff>1259052</xdr:colOff>
      <xdr:row>231</xdr:row>
      <xdr:rowOff>98535</xdr:rowOff>
    </xdr:from>
    <xdr:ext cx="2247410" cy="11333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EA6F38C-7E0F-81A9-3F72-D349CC7EA767}"/>
                </a:ext>
              </a:extLst>
            </xdr:cNvPr>
            <xdr:cNvSpPr txBox="1"/>
          </xdr:nvSpPr>
          <xdr:spPr>
            <a:xfrm>
              <a:off x="8649138" y="43092414"/>
              <a:ext cx="2247410" cy="1133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:668,6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,20322988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0,000820613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971433416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985994498</m:t>
                    </m:r>
                  </m:oMath>
                </m:oMathPara>
              </a14:m>
              <a:endParaRPr lang="en-ID">
                <a:effectLst/>
              </a:endParaRPr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EA6F38C-7E0F-81A9-3F72-D349CC7EA767}"/>
                </a:ext>
              </a:extLst>
            </xdr:cNvPr>
            <xdr:cNvSpPr txBox="1"/>
          </xdr:nvSpPr>
          <xdr:spPr>
            <a:xfrm>
              <a:off x="8649138" y="43092414"/>
              <a:ext cx="2247410" cy="1133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668,6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,20322988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0,000820613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971433416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985994498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endParaRPr lang="en-ID" sz="1100"/>
            </a:p>
          </xdr:txBody>
        </xdr:sp>
      </mc:Fallback>
    </mc:AlternateContent>
    <xdr:clientData/>
  </xdr:oneCellAnchor>
  <xdr:twoCellAnchor>
    <xdr:from>
      <xdr:col>2</xdr:col>
      <xdr:colOff>0</xdr:colOff>
      <xdr:row>252</xdr:row>
      <xdr:rowOff>0</xdr:rowOff>
    </xdr:from>
    <xdr:to>
      <xdr:col>8</xdr:col>
      <xdr:colOff>95507</xdr:colOff>
      <xdr:row>267</xdr:row>
      <xdr:rowOff>87954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DBC0A9-7B1E-487C-AC5E-4C8A46B20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5</xdr:col>
      <xdr:colOff>1256975</xdr:colOff>
      <xdr:row>256</xdr:row>
      <xdr:rowOff>159564</xdr:rowOff>
    </xdr:from>
    <xdr:ext cx="2276777" cy="961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AB39B8E-62AB-A53C-4761-54F29A13F043}"/>
                </a:ext>
              </a:extLst>
            </xdr:cNvPr>
            <xdr:cNvSpPr txBox="1"/>
          </xdr:nvSpPr>
          <xdr:spPr>
            <a:xfrm>
              <a:off x="8665308" y="47572897"/>
              <a:ext cx="2276777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:0,9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0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11952349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287824262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980128373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</m:t>
                    </m:r>
                    <m:r>
                      <m:rPr>
                        <m:nor/>
                      </m:rPr>
                      <a:rPr lang="en-ID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9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53313192</m:t>
                    </m:r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AB39B8E-62AB-A53C-4761-54F29A13F043}"/>
                </a:ext>
              </a:extLst>
            </xdr:cNvPr>
            <xdr:cNvSpPr txBox="1"/>
          </xdr:nvSpPr>
          <xdr:spPr>
            <a:xfrm>
              <a:off x="8665308" y="47572897"/>
              <a:ext cx="2276777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𝐶𝑠𝑎𝑡                             :0,9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0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11952349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pPr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287824262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pPr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980128373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pPr/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53313192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twoCellAnchor>
    <xdr:from>
      <xdr:col>2</xdr:col>
      <xdr:colOff>0</xdr:colOff>
      <xdr:row>280</xdr:row>
      <xdr:rowOff>0</xdr:rowOff>
    </xdr:from>
    <xdr:to>
      <xdr:col>8</xdr:col>
      <xdr:colOff>95507</xdr:colOff>
      <xdr:row>295</xdr:row>
      <xdr:rowOff>87954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1BB501-D012-42B4-B2E6-0A1721B6C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5</xdr:col>
      <xdr:colOff>1321173</xdr:colOff>
      <xdr:row>285</xdr:row>
      <xdr:rowOff>98855</xdr:rowOff>
    </xdr:from>
    <xdr:ext cx="2205284" cy="9611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3F20ECF-48B3-62AD-3F41-D97C12FD8462}"/>
                </a:ext>
              </a:extLst>
            </xdr:cNvPr>
            <xdr:cNvSpPr txBox="1"/>
          </xdr:nvSpPr>
          <xdr:spPr>
            <a:xfrm>
              <a:off x="8731832" y="51805998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𝐶𝑠𝑎𝑡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:4,99</m:t>
                    </m:r>
                  </m:oMath>
                </m:oMathPara>
              </a14:m>
              <a:endParaRPr lang="en-ID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K1                                      : 0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,053496561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K2                                       : </m:t>
                    </m:r>
                    <m:r>
                      <m:rPr>
                        <m:nor/>
                      </m:rPr>
                      <a:rPr lang="en-ID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017232421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(First−Order)        : 0,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863739512</m:t>
                    </m:r>
                  </m:oMath>
                </m:oMathPara>
              </a14:m>
              <a:endParaRPr lang="en-ID">
                <a:effectLst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m:rPr>
                        <m:nor/>
                      </m:rPr>
                      <a:rPr lang="en-ID" sz="11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R^2 (Second−Order) : 0,</m:t>
                    </m:r>
                    <m:r>
                      <m:rPr>
                        <m:nor/>
                      </m:rPr>
                      <a:rPr lang="en-US" sz="11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782554806</m:t>
                    </m:r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3F20ECF-48B3-62AD-3F41-D97C12FD8462}"/>
                </a:ext>
              </a:extLst>
            </xdr:cNvPr>
            <xdr:cNvSpPr txBox="1"/>
          </xdr:nvSpPr>
          <xdr:spPr>
            <a:xfrm>
              <a:off x="8731832" y="51805998"/>
              <a:ext cx="2205284" cy="9611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eaLnBrk="1" fontAlgn="auto" latinLnBrk="0" hangingPunct="1"/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𝐶𝑠𝑎𝑡                             :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4,99</a:t>
              </a:r>
              <a:endParaRPr lang="en-ID">
                <a:effectLst/>
              </a:endParaRPr>
            </a:p>
            <a:p>
              <a:pPr eaLnBrk="1" fontAlgn="auto" latinLnBrk="0" hangingPunct="1"/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"K1                                      : 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,053496561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"K2                                       :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017232421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(First−Order)        : 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863739512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  <a:p>
              <a:r>
                <a:rPr lang="en-ID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"R^2 (Second−Order) : 0,</a:t>
              </a:r>
              <a:r>
                <a:rPr lang="en-US" sz="11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782554806</a:t>
              </a:r>
              <a:r>
                <a:rPr lang="en-ID" sz="11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E85700-BB14-48F4-A5F1-E4F88882D2A9}" name="Table4" displayName="Table4" ref="A2:H9" totalsRowShown="0">
  <autoFilter ref="A2:H9" xr:uid="{39E85700-BB14-48F4-A5F1-E4F88882D2A9}"/>
  <tableColumns count="8">
    <tableColumn id="1" xr3:uid="{9DA6AF53-59F8-45DC-98AD-620C22F3E024}" name="Time (min)"/>
    <tableColumn id="2" xr3:uid="{825C5E7F-F278-4E12-988A-80A256FD8708}" name="Concentration EFB 10mm (Ct1)"/>
    <tableColumn id="3" xr3:uid="{5BA8B1CA-1F89-429C-B3C3-A0F38A337B63}" name="Orde 1 (Ct2)"/>
    <tableColumn id="4" xr3:uid="{C9EF1EF0-A2F5-4F80-A828-014ADFF44DC8}" name="Error 1"/>
    <tableColumn id="5" xr3:uid="{4AD53BD0-8CEF-417D-8003-99D1ECB3A144}" name="Error^2 1"/>
    <tableColumn id="6" xr3:uid="{A7907A49-87B6-42D1-A8F2-E5AC61F7BBEE}" name="Orde 2 (Ct3)"/>
    <tableColumn id="7" xr3:uid="{A11C4919-4A74-4093-A0FF-6C540D1D4FE9}" name="Error  2"/>
    <tableColumn id="8" xr3:uid="{034312D6-C673-4D8D-AE4D-210CF70174B0}" name="Error 2^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1A5A9-EBE2-4ACD-ABB4-C5BEACEA7434}" name="Table1" displayName="Table1" ref="A28:H35" totalsRowShown="0">
  <autoFilter ref="A28:H35" xr:uid="{2871A5A9-EBE2-4ACD-ABB4-C5BEACEA7434}"/>
  <tableColumns count="8">
    <tableColumn id="1" xr3:uid="{E9462F2F-C8A3-4091-B0A1-66EA3950481D}" name="Time (min)"/>
    <tableColumn id="2" xr3:uid="{323C75F9-D1D1-45FC-9375-F20521DBFEEF}" name="Concentration (Ct1)" dataDxfId="14"/>
    <tableColumn id="3" xr3:uid="{C3A71741-5177-490A-920C-07E20A35CB88}" name="Orde 1 (Ct2)"/>
    <tableColumn id="4" xr3:uid="{D6EAC627-92D6-4DCD-B554-B9ADE68B9A28}" name="Error 1">
      <calculatedColumnFormula>B29-C29</calculatedColumnFormula>
    </tableColumn>
    <tableColumn id="5" xr3:uid="{E3D17B6B-32D0-432E-A6F8-3195A5B1E352}" name="Error^2 1">
      <calculatedColumnFormula>D29^2</calculatedColumnFormula>
    </tableColumn>
    <tableColumn id="6" xr3:uid="{FE138485-2DE3-4C75-B225-1304782B41DA}" name="Orde 2 (Ct2)"/>
    <tableColumn id="7" xr3:uid="{7D84B23E-7B7E-470E-A453-C701D0C713D4}" name="Error 2">
      <calculatedColumnFormula>B29-F29</calculatedColumnFormula>
    </tableColumn>
    <tableColumn id="8" xr3:uid="{D75B86B3-EB2D-4A99-86B4-1C7114FB3ED8}" name="Error^2 2">
      <calculatedColumnFormula>G29^2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E6A9C7-7F3B-4DE7-A5FF-6B2D2738700A}" name="Table8" displayName="Table8" ref="A55:H62" totalsRowShown="0">
  <autoFilter ref="A55:H62" xr:uid="{7EE6A9C7-7F3B-4DE7-A5FF-6B2D2738700A}"/>
  <tableColumns count="8">
    <tableColumn id="1" xr3:uid="{99175E1C-1473-4752-B31A-F0DDFA0FCE15}" name="Time (min)"/>
    <tableColumn id="2" xr3:uid="{85A5EA05-3145-4BD2-8481-E80501AACBE2}" name="Concentration (Ct1)" dataDxfId="13"/>
    <tableColumn id="3" xr3:uid="{C732FCA6-FE80-4DA2-9E08-E71B6625C55B}" name="Orde 1 (Ct2)"/>
    <tableColumn id="4" xr3:uid="{D2FA3173-FC94-4937-8BF8-4482C09B283B}" name="Error 1">
      <calculatedColumnFormula>B56-C56</calculatedColumnFormula>
    </tableColumn>
    <tableColumn id="5" xr3:uid="{E6428F3C-9428-4580-99DA-76130954665E}" name="Error^2 1">
      <calculatedColumnFormula>D56^2</calculatedColumnFormula>
    </tableColumn>
    <tableColumn id="6" xr3:uid="{9D42C01C-42CB-46F7-AFB8-73BAFE93C887}" name="Orde 2 (Ct3)"/>
    <tableColumn id="7" xr3:uid="{2F05D5DC-7016-40C0-A437-1802539699B7}" name="Error 2">
      <calculatedColumnFormula>B56-F56</calculatedColumnFormula>
    </tableColumn>
    <tableColumn id="8" xr3:uid="{5D2CD883-57D5-49A5-A63A-41AFFB24B70F}" name="Error^2 2">
      <calculatedColumnFormula>G56^2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B85B9B-5D13-4E4A-851B-33A01A164432}" name="Table11" displayName="Table11" ref="A82:H89" totalsRowShown="0">
  <autoFilter ref="A82:H89" xr:uid="{71B85B9B-5D13-4E4A-851B-33A01A164432}"/>
  <tableColumns count="8">
    <tableColumn id="1" xr3:uid="{BB77A03A-0443-4B02-95A5-4233850C4E16}" name="Time (min)"/>
    <tableColumn id="2" xr3:uid="{2AF05E1D-CE88-4ACE-B9A3-226362CE0E1A}" name="Concentration (Ct1)" dataDxfId="12"/>
    <tableColumn id="3" xr3:uid="{2654698B-7990-465E-B678-45CCEC489C59}" name="Orde 1 (Ct2)"/>
    <tableColumn id="4" xr3:uid="{43D7C742-2F27-45C7-8AF5-2F31611011BD}" name="Error 1">
      <calculatedColumnFormula>B83-C83</calculatedColumnFormula>
    </tableColumn>
    <tableColumn id="5" xr3:uid="{77C13623-D744-4402-8182-9F64B45937E0}" name="Error^2 1">
      <calculatedColumnFormula>D83^2</calculatedColumnFormula>
    </tableColumn>
    <tableColumn id="6" xr3:uid="{6F5CA911-CF57-43A9-BE00-3963FBCBD99A}" name="Orde 2 (Ct3)"/>
    <tableColumn id="7" xr3:uid="{F545CF79-9422-49DE-8B36-E92104EDE837}" name="Error 2">
      <calculatedColumnFormula>B83-F83</calculatedColumnFormula>
    </tableColumn>
    <tableColumn id="8" xr3:uid="{1A04A61E-8ED1-4195-B20F-F30E7A0DA5A5}" name="Error^2 2">
      <calculatedColumnFormula>G83^2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A4C4F6-100A-4DE9-92FA-D3CF7BDCF6FB}" name="Table7" displayName="Table7" ref="A109:H116" totalsRowShown="0">
  <autoFilter ref="A109:H116" xr:uid="{F8A4C4F6-100A-4DE9-92FA-D3CF7BDCF6FB}"/>
  <tableColumns count="8">
    <tableColumn id="1" xr3:uid="{A6FF2FFD-5266-44DA-B907-8997BEF9C157}" name="Time (min)"/>
    <tableColumn id="2" xr3:uid="{F1740D43-B10B-4652-9E99-050C8426B64D}" name="Concentration (Ct1)" dataDxfId="11"/>
    <tableColumn id="3" xr3:uid="{AE930AE9-49A3-41D2-9585-2CFDE91BD78A}" name="Orde 1 (Ct2)"/>
    <tableColumn id="4" xr3:uid="{94864100-0604-46DA-8702-D95EAAFF5898}" name="Error 1">
      <calculatedColumnFormula>B110-C110</calculatedColumnFormula>
    </tableColumn>
    <tableColumn id="5" xr3:uid="{4899A247-A10A-4EDC-A68C-A4EB8338C893}" name="Error^2 1">
      <calculatedColumnFormula>D110^2</calculatedColumnFormula>
    </tableColumn>
    <tableColumn id="6" xr3:uid="{199D50DC-5EB9-4441-B5CE-3B891664F7A5}" name="Orde 2 (Ct3)"/>
    <tableColumn id="7" xr3:uid="{A50653EA-0AC1-4FEF-BA2C-5F25E2705923}" name="Error 2">
      <calculatedColumnFormula>B110-F110</calculatedColumnFormula>
    </tableColumn>
    <tableColumn id="8" xr3:uid="{82F7276A-05AB-4E28-B7F6-646C2F2573A5}" name="Error^2 2">
      <calculatedColumnFormula>G110^2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BFC0908-490B-4221-8CD9-543FB9AA9073}" name="Table16" displayName="Table16" ref="A136:H143" totalsRowShown="0">
  <autoFilter ref="A136:H143" xr:uid="{2BFC0908-490B-4221-8CD9-543FB9AA9073}"/>
  <tableColumns count="8">
    <tableColumn id="1" xr3:uid="{6F6AF50A-E079-4FFA-A937-663D60E0EB0F}" name="Time (min)"/>
    <tableColumn id="2" xr3:uid="{A9556790-BEA5-4260-B208-A75A0F212A95}" name="Concentration (Ct1)" dataDxfId="10"/>
    <tableColumn id="3" xr3:uid="{000B5217-D1F4-45B2-9BD6-4C4016554E91}" name="Orde 1 (Ct2)"/>
    <tableColumn id="4" xr3:uid="{706D5497-5091-4CB1-9790-351C4EB3621A}" name="Error 1">
      <calculatedColumnFormula>B137-C137</calculatedColumnFormula>
    </tableColumn>
    <tableColumn id="5" xr3:uid="{CCA691F3-D42F-4BBB-BBE7-0C280D9AD13F}" name="Error^2 1">
      <calculatedColumnFormula>D137^2</calculatedColumnFormula>
    </tableColumn>
    <tableColumn id="6" xr3:uid="{68C3AB09-A878-4C89-B8F9-3043C085B2E2}" name="Orde 2 (Ct3)"/>
    <tableColumn id="7" xr3:uid="{D6BD828E-E685-4B42-B96C-DC9FA6898C58}" name="Error 2">
      <calculatedColumnFormula>B137-F137</calculatedColumnFormula>
    </tableColumn>
    <tableColumn id="8" xr3:uid="{F3BFF895-424D-4781-A4AA-5F058D87785A}" name="Error^2 2">
      <calculatedColumnFormula>G137^2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5488BCD-E35D-4B46-A7F9-E7B34FB24ABC}" name="Table19" displayName="Table19" ref="A164:H171" totalsRowShown="0">
  <autoFilter ref="A164:H171" xr:uid="{75488BCD-E35D-4B46-A7F9-E7B34FB24ABC}"/>
  <tableColumns count="8">
    <tableColumn id="1" xr3:uid="{1192B69D-55BF-4BAC-9B23-778BC3F6D7B9}" name="Time (min)"/>
    <tableColumn id="2" xr3:uid="{921F76D0-85A3-4BB0-9CF7-F6691B2DB9C0}" name="Concentration (Ct1)"/>
    <tableColumn id="3" xr3:uid="{EBE0AB78-F36A-4D0F-98B3-C8C9401E9892}" name="Orde 1 (Ct2)"/>
    <tableColumn id="4" xr3:uid="{5D60A964-D268-43F8-AD96-ECF38C0A22A9}" name="Error 1">
      <calculatedColumnFormula>B165-C165</calculatedColumnFormula>
    </tableColumn>
    <tableColumn id="5" xr3:uid="{215F4C88-D7C3-4B24-A7F7-0C2189F66A2A}" name="Error^2 1">
      <calculatedColumnFormula>D165^2</calculatedColumnFormula>
    </tableColumn>
    <tableColumn id="6" xr3:uid="{FD601588-B34E-474E-A22A-C4526815FFDB}" name="Orde 2 (Ct3)"/>
    <tableColumn id="7" xr3:uid="{33DB4BBB-5CB7-4F12-B924-1D7608B96C90}" name="Error 2">
      <calculatedColumnFormula>B165-F165</calculatedColumnFormula>
    </tableColumn>
    <tableColumn id="8" xr3:uid="{DC482D29-1FAC-4C79-AEF3-463EBFBDDF58}" name="Error^2 2">
      <calculatedColumnFormula>G165^2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3B6541A-73CC-46BE-9750-5473C0F36BA2}" name="Table22" displayName="Table22" ref="A191:H198" totalsRowShown="0">
  <autoFilter ref="A191:H198" xr:uid="{B3B6541A-73CC-46BE-9750-5473C0F36BA2}"/>
  <tableColumns count="8">
    <tableColumn id="1" xr3:uid="{E61A0417-0BAC-4213-A2BE-F443E1E91025}" name="Time (min)"/>
    <tableColumn id="2" xr3:uid="{4D740441-0C86-4362-A402-80D9E7BDCD7C}" name="Concentration (Ct1)"/>
    <tableColumn id="3" xr3:uid="{EE9E8510-CE75-4AF4-B941-363E669D8D62}" name="Orde 1 (Ct2)"/>
    <tableColumn id="4" xr3:uid="{9156C2AC-FEA2-4A3A-8FDB-F4A742E2C0C4}" name="Error 1">
      <calculatedColumnFormula>B192-C192</calculatedColumnFormula>
    </tableColumn>
    <tableColumn id="5" xr3:uid="{BDDCE3F5-4577-48D2-A170-759C3D8DA891}" name="Error^2 1">
      <calculatedColumnFormula>D192^2</calculatedColumnFormula>
    </tableColumn>
    <tableColumn id="6" xr3:uid="{75158861-8100-4D03-B96D-378FA97D7B50}" name="Orde 2 (Ct3)"/>
    <tableColumn id="7" xr3:uid="{B9658D79-CA1D-420F-97FA-7AEBA089B114}" name="Error 2">
      <calculatedColumnFormula>B192-F192</calculatedColumnFormula>
    </tableColumn>
    <tableColumn id="8" xr3:uid="{C097235A-9365-42D1-8012-E750F4519113}" name="Error^2 2">
      <calculatedColumnFormula>G192^2</calculatedColumnFormula>
    </tableColumn>
  </tableColumns>
  <tableStyleInfo name="TableStyleDark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7206EC2-251E-40C3-BDCF-027ED8DF6CBF}" name="Table25" displayName="Table25" ref="A218:H225" totalsRowShown="0">
  <autoFilter ref="A218:H225" xr:uid="{27206EC2-251E-40C3-BDCF-027ED8DF6CBF}"/>
  <tableColumns count="8">
    <tableColumn id="1" xr3:uid="{8061AC05-E283-4289-A76D-09DBC58133BD}" name="Time (min)"/>
    <tableColumn id="2" xr3:uid="{F48C5EE6-1926-4593-A6F4-7A7342A60463}" name="Concentration (Ct1)"/>
    <tableColumn id="3" xr3:uid="{DA64F16F-BD04-4BD1-843E-D9F1B4E422DA}" name="Orde 1 (Ct2)"/>
    <tableColumn id="4" xr3:uid="{910AF872-C159-41F6-9B10-16D75F7C40D1}" name="Error 1">
      <calculatedColumnFormula>B219-C219</calculatedColumnFormula>
    </tableColumn>
    <tableColumn id="5" xr3:uid="{A7D59FAA-BBA1-46A1-A5FA-B52F875A0BC3}" name="Error^2 1">
      <calculatedColumnFormula>D219^2</calculatedColumnFormula>
    </tableColumn>
    <tableColumn id="6" xr3:uid="{300FD706-283B-41A4-9884-1DA976238EE2}" name="Orde 2 (Ct3)"/>
    <tableColumn id="7" xr3:uid="{32CD293E-9249-46CB-9127-74BAAE69AA68}" name="Error 2">
      <calculatedColumnFormula>B219-F219</calculatedColumnFormula>
    </tableColumn>
    <tableColumn id="8" xr3:uid="{A50FD345-76D4-4B70-912A-CE54BEFBE043}" name="Error^2 2">
      <calculatedColumnFormula>G219^2</calculatedColumnFormula>
    </tableColumn>
  </tableColumns>
  <tableStyleInfo name="TableStyleDark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FC818DC-279B-4C65-90D9-37A05A88A0D5}" name="Table28" displayName="Table28" ref="A243:H250" totalsRowShown="0">
  <autoFilter ref="A243:H250" xr:uid="{1FC818DC-279B-4C65-90D9-37A05A88A0D5}"/>
  <tableColumns count="8">
    <tableColumn id="1" xr3:uid="{D71CBE1E-8B4F-4482-AA39-C1B3394D2D8B}" name="Time (min)"/>
    <tableColumn id="2" xr3:uid="{3E983EBB-257D-47BD-84E1-273132540F27}" name="Concentration (Ct1)"/>
    <tableColumn id="3" xr3:uid="{91E8CCA0-AB95-48F4-A033-F090121C4DE8}" name="Orde 1 (Ct2)"/>
    <tableColumn id="4" xr3:uid="{F394A757-D501-4A4C-A1EA-46A5E6521485}" name="Error 1">
      <calculatedColumnFormula>B244-C244</calculatedColumnFormula>
    </tableColumn>
    <tableColumn id="5" xr3:uid="{046A4271-574F-4ED6-AA22-6C01D7BDCE0C}" name="Error^2 1">
      <calculatedColumnFormula>D244^2</calculatedColumnFormula>
    </tableColumn>
    <tableColumn id="6" xr3:uid="{6E753E96-941E-480D-A514-E33C769BC322}" name="Orde 2 (Ct3)"/>
    <tableColumn id="7" xr3:uid="{880B8184-0354-485F-A2ED-560A0321F8E2}" name="Error 2">
      <calculatedColumnFormula>B244-F244</calculatedColumnFormula>
    </tableColumn>
    <tableColumn id="8" xr3:uid="{C8DE3AB1-1386-4541-9ED2-5EE9D8979F7E}" name="Error^2 2">
      <calculatedColumnFormula>G244^2</calculatedColumnFormula>
    </tableColumn>
  </tableColumns>
  <tableStyleInfo name="TableStyleDark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835D707-69E6-4AB1-BB1A-5735436BB6FB}" name="Table31" displayName="Table31" ref="A269:H276" totalsRowShown="0">
  <autoFilter ref="A269:H276" xr:uid="{2835D707-69E6-4AB1-BB1A-5735436BB6FB}"/>
  <tableColumns count="8">
    <tableColumn id="1" xr3:uid="{EE173C55-C48A-43B7-A853-9CF569F88CE8}" name="Time (min)"/>
    <tableColumn id="2" xr3:uid="{9E25B5F8-A815-4116-9E36-8E9C190B51AE}" name="Csat (Ct1)"/>
    <tableColumn id="3" xr3:uid="{EFC8D16C-A3B1-4ABC-8BD5-0FE28C3C214F}" name="Orde 1 (Ct2)"/>
    <tableColumn id="4" xr3:uid="{5DCF15DF-EAB3-4E86-B1AB-29DEA680B38A}" name="Error 1">
      <calculatedColumnFormula>B270-C270</calculatedColumnFormula>
    </tableColumn>
    <tableColumn id="5" xr3:uid="{07E03F42-B693-4F2F-9AD7-265FD152868E}" name="Error^2 1">
      <calculatedColumnFormula>D270^2</calculatedColumnFormula>
    </tableColumn>
    <tableColumn id="6" xr3:uid="{5094350E-6E9E-47EC-9218-C33C307E5F5D}" name="Orde 2 (Ct3)"/>
    <tableColumn id="7" xr3:uid="{FAC2723D-D893-4724-8A50-E40F14562077}" name="Error 2">
      <calculatedColumnFormula>B270-F270</calculatedColumnFormula>
    </tableColumn>
    <tableColumn id="8" xr3:uid="{8B868EDA-9455-45B0-B516-F6392BF67566}" name="Error^2 2">
      <calculatedColumnFormula>G270^2</calculatedColumnFormula>
    </tableColumn>
  </tableColumns>
  <tableStyleInfo name="TableStyleDark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E52AB9-924D-45BA-AF44-75A9BCB8A547}" name="Table3" displayName="Table3" ref="A2:H9" totalsRowShown="0">
  <autoFilter ref="A2:H9" xr:uid="{22E52AB9-924D-45BA-AF44-75A9BCB8A547}"/>
  <tableColumns count="8">
    <tableColumn id="1" xr3:uid="{204D159E-3173-4CCB-B502-EC2442021AF5}" name="Time (min)"/>
    <tableColumn id="2" xr3:uid="{984DBC50-62CD-4118-AE58-DCCF6AB3A670}" name="Concentration EFB 2 mm (Ct1)"/>
    <tableColumn id="3" xr3:uid="{86A0294F-C137-4F62-9333-0913AEE91DCF}" name="Orde 1 (Ct2)"/>
    <tableColumn id="4" xr3:uid="{4A555B2A-AECE-49D5-9F92-8BA0051E0B69}" name="Error 1"/>
    <tableColumn id="5" xr3:uid="{0165FD97-47D5-411C-93F4-49B9E0D4065D}" name="Error^2 1"/>
    <tableColumn id="6" xr3:uid="{11B59EEF-118C-4980-8DBA-E99538C1F3BE}" name="Orde 2 (Ct3)"/>
    <tableColumn id="7" xr3:uid="{DCD2040F-8D29-4310-936A-8251DB888D05}" name="Error 2"/>
    <tableColumn id="8" xr3:uid="{6EF49580-A211-420A-A504-767E13EFE112}" name="Error^2 2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AA4921-31D6-49DA-9E39-D6E3DC778C3B}" name="Table5" displayName="Table5" ref="A29:H36" totalsRowShown="0">
  <autoFilter ref="A29:H36" xr:uid="{35AA4921-31D6-49DA-9E39-D6E3DC778C3B}"/>
  <tableColumns count="8">
    <tableColumn id="1" xr3:uid="{A81A62F2-F5DC-4E05-B0FA-DED1ABF076BC}" name="Time (min)"/>
    <tableColumn id="2" xr3:uid="{1C39B0FF-1684-46AE-8DB1-BE1FC21BCFD2}" name="Concentration (Ct1)" dataDxfId="9"/>
    <tableColumn id="3" xr3:uid="{13CA9A84-9150-42E3-B94F-D2988F3B9302}" name="Orde 1 (Ct2)"/>
    <tableColumn id="4" xr3:uid="{277DD82E-819E-4E9A-894E-2A503703DF79}" name="Error 1">
      <calculatedColumnFormula>B30-C30</calculatedColumnFormula>
    </tableColumn>
    <tableColumn id="5" xr3:uid="{616064CF-F67A-4D91-AD4D-8AFCF1080D31}" name="Error^2 1">
      <calculatedColumnFormula>D30^2</calculatedColumnFormula>
    </tableColumn>
    <tableColumn id="6" xr3:uid="{0EC2AF57-42C6-4E42-9F75-CFC6FD0E1136}" name="Orde 2 (Ct3)"/>
    <tableColumn id="7" xr3:uid="{52F878B0-23C4-414B-A8BC-2616E1D78BB0}" name="Error 2">
      <calculatedColumnFormula>B30-F30</calculatedColumnFormula>
    </tableColumn>
    <tableColumn id="8" xr3:uid="{C27B818E-647A-4A6E-B9BC-D69EE9397219}" name="Error^2 2">
      <calculatedColumnFormula>G30^2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1D28F8-1760-4EDE-BB94-A05B474CCB50}" name="Table9" displayName="Table9" ref="A56:H63" totalsRowShown="0">
  <autoFilter ref="A56:H63" xr:uid="{711D28F8-1760-4EDE-BB94-A05B474CCB50}"/>
  <tableColumns count="8">
    <tableColumn id="1" xr3:uid="{F339666B-B37E-4089-B26F-70EB415849FF}" name="Time (t)"/>
    <tableColumn id="2" xr3:uid="{2AA53DDD-1E94-488B-A21E-A31ACB0C8C34}" name="Concentration (Ct1)" dataDxfId="8"/>
    <tableColumn id="3" xr3:uid="{31DFCF2F-BA31-4AB0-9268-304709D93A10}" name="Orde 1 (Ct2)"/>
    <tableColumn id="4" xr3:uid="{D8D87114-468A-45A0-8495-3332C96BD42B}" name="Error 1">
      <calculatedColumnFormula>B57-C57</calculatedColumnFormula>
    </tableColumn>
    <tableColumn id="5" xr3:uid="{CB978B2A-B806-4A5B-A870-BCF9C31D268D}" name="Error^2 1">
      <calculatedColumnFormula>D57^2</calculatedColumnFormula>
    </tableColumn>
    <tableColumn id="6" xr3:uid="{D2DBFA25-728C-4EC2-B44B-D21E8F9FB8CA}" name="Orde 2 (Ct3)"/>
    <tableColumn id="7" xr3:uid="{BECCB542-FD21-4E49-A740-C565D00179F7}" name="Error 2">
      <calculatedColumnFormula>B57-F57</calculatedColumnFormula>
    </tableColumn>
    <tableColumn id="8" xr3:uid="{876CFFD5-8192-4F21-B0E7-0A1EA5F58AD4}" name="Error^2 2">
      <calculatedColumnFormula>G57^2</calculatedColumnFormula>
    </tableColumn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93A7C8-E844-4624-9737-37E29B9A1299}" name="Table12" displayName="Table12" ref="A83:H90" totalsRowShown="0">
  <autoFilter ref="A83:H90" xr:uid="{D193A7C8-E844-4624-9737-37E29B9A1299}"/>
  <tableColumns count="8">
    <tableColumn id="1" xr3:uid="{7DA8B6AD-A9AC-48AB-A1F3-9835E8E3B791}" name="Time (min)"/>
    <tableColumn id="2" xr3:uid="{0D910AA7-E8B4-4AD8-9189-99EC4CB35FC2}" name="Concentration (Ct1)" dataDxfId="7"/>
    <tableColumn id="3" xr3:uid="{AA501E5F-2F63-4F52-9A49-42A90BDD3502}" name="Orde 1 (Ct2)"/>
    <tableColumn id="4" xr3:uid="{295925B7-CAC6-4857-A829-090B89FF7AF2}" name="Error 1">
      <calculatedColumnFormula>B84-C84</calculatedColumnFormula>
    </tableColumn>
    <tableColumn id="5" xr3:uid="{0088EDE1-9AAB-4BD6-B2B5-AD251F2C4ECD}" name="Error^2 1">
      <calculatedColumnFormula>D84^2</calculatedColumnFormula>
    </tableColumn>
    <tableColumn id="6" xr3:uid="{6D5D053F-3AEE-4428-AB20-B9F0664F7B46}" name="Orde 2 (Ct3)"/>
    <tableColumn id="7" xr3:uid="{9B9F43E0-DB99-4889-AE72-5A4D3EC865B6}" name="Error 2">
      <calculatedColumnFormula>B84-F84</calculatedColumnFormula>
    </tableColumn>
    <tableColumn id="8" xr3:uid="{FD6F73E0-E7AF-4B98-A56B-EF6EF3E8424D}" name="Error^2 2">
      <calculatedColumnFormula>G84^2</calculatedColumnFormula>
    </tableColumn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B20D0CC-0392-43A1-B6A1-766F12D44A14}" name="Table14" displayName="Table14" ref="A111:H118" totalsRowShown="0">
  <autoFilter ref="A111:H118" xr:uid="{6B20D0CC-0392-43A1-B6A1-766F12D44A14}"/>
  <tableColumns count="8">
    <tableColumn id="1" xr3:uid="{BA6439D3-A055-4CF3-AD98-429CB002FBDE}" name="Time (min)"/>
    <tableColumn id="2" xr3:uid="{24674BBE-E1D2-4B36-8B8A-390326205425}" name="Concentration (Ct1)" dataDxfId="6"/>
    <tableColumn id="3" xr3:uid="{5222EEE8-4F12-4117-9D33-111A3EFE89A4}" name="Orde 1 (Ct2)"/>
    <tableColumn id="4" xr3:uid="{2B6DE075-661B-4DAF-AC3B-37B03B49FEC0}" name="Error 1">
      <calculatedColumnFormula>B112-C112</calculatedColumnFormula>
    </tableColumn>
    <tableColumn id="5" xr3:uid="{54551775-46BC-41C2-AF4D-29B894A85DE2}" name="Error^2 1">
      <calculatedColumnFormula>D112^2</calculatedColumnFormula>
    </tableColumn>
    <tableColumn id="6" xr3:uid="{AF524E35-EB92-4C59-AD3F-411BB00B7390}" name="Orde 2( Ct3)"/>
    <tableColumn id="7" xr3:uid="{F4B97AD7-F453-4F93-9A83-DB74A3ECCA5F}" name="Error 2">
      <calculatedColumnFormula>B112-F112</calculatedColumnFormula>
    </tableColumn>
    <tableColumn id="8" xr3:uid="{A2FD20C9-7567-49A7-BA8B-604AF24DD946}" name="Error^2 2">
      <calculatedColumnFormula>G112^2</calculatedColumnFormula>
    </tableColumn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4B625F-AE47-4C7D-A9D5-03BF2D3E2A8E}" name="Table17" displayName="Table17" ref="A138:H145" totalsRowShown="0">
  <autoFilter ref="A138:H145" xr:uid="{754B625F-AE47-4C7D-A9D5-03BF2D3E2A8E}"/>
  <tableColumns count="8">
    <tableColumn id="1" xr3:uid="{76E96F42-80C8-4182-81D5-9D5710985A91}" name="Time (min)"/>
    <tableColumn id="2" xr3:uid="{5CA92301-D340-471A-A619-A494DFE784BA}" name="Concentration (Ct1)" dataDxfId="5"/>
    <tableColumn id="3" xr3:uid="{22B67F3E-43D5-405F-A2F9-F65D28A5A80F}" name="Orde 1 (Ct2)"/>
    <tableColumn id="4" xr3:uid="{B186BD51-7707-4523-86D5-B9BE02E55AE2}" name="Error 1">
      <calculatedColumnFormula>B139-C139</calculatedColumnFormula>
    </tableColumn>
    <tableColumn id="5" xr3:uid="{5F0791EC-EB2B-44B5-AC87-46BCCE408DE5}" name="Error^2 1">
      <calculatedColumnFormula>D139^2</calculatedColumnFormula>
    </tableColumn>
    <tableColumn id="6" xr3:uid="{8A84953E-8239-46F9-B844-0151B87F8F33}" name="Orde 2 (Ct3)"/>
    <tableColumn id="7" xr3:uid="{E23F1B28-D9D5-4C92-848D-7F4FAB9F5F9B}" name="Error 2">
      <calculatedColumnFormula>B139-F139</calculatedColumnFormula>
    </tableColumn>
    <tableColumn id="8" xr3:uid="{58FFE37A-35A7-4579-9237-3726C86194EB}" name="Error^2 2">
      <calculatedColumnFormula>G139^2</calculatedColumnFormula>
    </tableColumn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276C81F-EC15-42D6-BE5D-C1D54A23C449}" name="Table20" displayName="Table20" ref="A165:H172" totalsRowShown="0">
  <autoFilter ref="A165:H172" xr:uid="{C276C81F-EC15-42D6-BE5D-C1D54A23C449}"/>
  <tableColumns count="8">
    <tableColumn id="1" xr3:uid="{DC65B580-7FAE-4608-AE8D-F4E717FA42B3}" name="Time (min)"/>
    <tableColumn id="2" xr3:uid="{4FD9BCB2-AF08-4EA2-995D-36A2A8D8C225}" name="Concentration (Ct1)"/>
    <tableColumn id="3" xr3:uid="{D282BB84-107A-4EDD-9C9B-A11C54743E35}" name="Orde 1 (Ct2)"/>
    <tableColumn id="4" xr3:uid="{FE07CD5E-7ACA-455D-99D2-AF0E823CA38E}" name="Error 1">
      <calculatedColumnFormula>B166-C166</calculatedColumnFormula>
    </tableColumn>
    <tableColumn id="5" xr3:uid="{17A9E625-3935-46F1-A867-369A265E2D5B}" name="Error^2 1">
      <calculatedColumnFormula>D166^2</calculatedColumnFormula>
    </tableColumn>
    <tableColumn id="6" xr3:uid="{927E2725-5283-4CF3-B3A3-914793AF5014}" name="Orde 2 (Ct3)"/>
    <tableColumn id="7" xr3:uid="{8BDC035A-56A6-44E7-B4A1-F4270337421F}" name="Error 2">
      <calculatedColumnFormula>B166-F166</calculatedColumnFormula>
    </tableColumn>
    <tableColumn id="8" xr3:uid="{2E897DC7-33C9-45E9-97AE-DB3AF1195ABF}" name="Error^2 2">
      <calculatedColumnFormula>G166^2</calculatedColumnFormula>
    </tableColumn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971D163-FA00-4BEE-9AB5-220E60B6B1FC}" name="Table23" displayName="Table23" ref="A192:H199" totalsRowShown="0">
  <autoFilter ref="A192:H199" xr:uid="{9971D163-FA00-4BEE-9AB5-220E60B6B1FC}"/>
  <tableColumns count="8">
    <tableColumn id="1" xr3:uid="{11ABFD03-722C-44F5-A2AD-7BA6595AB16E}" name="Time (min)"/>
    <tableColumn id="2" xr3:uid="{60A9CB62-5A48-44A6-9FA1-CF9B4F2B0099}" name="Concenctration (Ct1)"/>
    <tableColumn id="3" xr3:uid="{27C33251-6C8B-4693-BF8A-E1EB67227A5A}" name="Orde 1 (Ct2)"/>
    <tableColumn id="4" xr3:uid="{17931B5C-BD13-4A94-8523-EEEDD09AE38B}" name="Error 1">
      <calculatedColumnFormula>B193-C193</calculatedColumnFormula>
    </tableColumn>
    <tableColumn id="5" xr3:uid="{1C9AB766-14C1-4DCF-842F-C998B3895DEE}" name="Error^2 1">
      <calculatedColumnFormula>D193^2</calculatedColumnFormula>
    </tableColumn>
    <tableColumn id="6" xr3:uid="{72EFEBA1-7A72-42B3-88D8-CE86C500F2B5}" name="Orde 2 (Ct3)"/>
    <tableColumn id="7" xr3:uid="{6DD27B03-AD9F-45E1-953E-B93D28765F06}" name="Error 2">
      <calculatedColumnFormula>B193-F193</calculatedColumnFormula>
    </tableColumn>
    <tableColumn id="8" xr3:uid="{C2C22547-E616-41C4-AD5C-2CFA81BCDB65}" name="Error^2 2">
      <calculatedColumnFormula>G193^2</calculatedColumnFormula>
    </tableColumn>
  </tableColumns>
  <tableStyleInfo name="TableStyleDark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AE7A545-BF3A-4073-9CD4-50FA28C9EAA0}" name="Table26" displayName="Table26" ref="A219:H226" totalsRowShown="0">
  <autoFilter ref="A219:H226" xr:uid="{3AE7A545-BF3A-4073-9CD4-50FA28C9EAA0}"/>
  <tableColumns count="8">
    <tableColumn id="1" xr3:uid="{2091291C-81EF-4964-A830-BC904A112B0D}" name="Time (min)"/>
    <tableColumn id="2" xr3:uid="{DB919968-A13C-46FB-AC12-24930815DA02}" name="Concentration (Ct1)"/>
    <tableColumn id="3" xr3:uid="{9383FA16-D06B-4FFA-B858-805CB71056C0}" name="Orde 1 (Ct1)"/>
    <tableColumn id="4" xr3:uid="{9F8B7526-B828-4277-A570-6814C9E29314}" name="Error 1">
      <calculatedColumnFormula>B220-C220</calculatedColumnFormula>
    </tableColumn>
    <tableColumn id="5" xr3:uid="{2CBF1528-1562-415C-A159-DE9E535F2219}" name="Error^2 1">
      <calculatedColumnFormula>D220^2</calculatedColumnFormula>
    </tableColumn>
    <tableColumn id="6" xr3:uid="{72A32030-5E90-4018-B2A5-15FF3DDDA312}" name="Orde 2 (Ct3)"/>
    <tableColumn id="7" xr3:uid="{962E6A59-9624-4752-A033-820FB686C752}" name="Error 2">
      <calculatedColumnFormula>B220-F220</calculatedColumnFormula>
    </tableColumn>
    <tableColumn id="8" xr3:uid="{B6F17FE0-767B-4861-B378-53927711E89E}" name="Error^2 2">
      <calculatedColumnFormula>G220^2</calculatedColumnFormula>
    </tableColumn>
  </tableColumns>
  <tableStyleInfo name="TableStyleDark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E0C9595-D450-4876-9BF3-2995DDB080EF}" name="Table29" displayName="Table29" ref="A245:H252" totalsRowShown="0">
  <autoFilter ref="A245:H252" xr:uid="{4E0C9595-D450-4876-9BF3-2995DDB080EF}"/>
  <tableColumns count="8">
    <tableColumn id="1" xr3:uid="{5F6BAD12-59B8-4707-BB04-BDB45EA75710}" name="Time (min)"/>
    <tableColumn id="2" xr3:uid="{A57B8E88-91BD-496C-BB8B-17915D3B52A3}" name="Concentration (Ct1)"/>
    <tableColumn id="3" xr3:uid="{33E17B44-D1C5-4A6B-ACB5-39743F3C855C}" name="Orde 1 (Ct2)"/>
    <tableColumn id="4" xr3:uid="{6CB37CE1-AA87-438F-8F1F-10CE5030A816}" name="Error 1">
      <calculatedColumnFormula>B246-C246</calculatedColumnFormula>
    </tableColumn>
    <tableColumn id="5" xr3:uid="{288E9B97-589E-4364-90E8-5E8847EAD69C}" name="Error^2 1">
      <calculatedColumnFormula>D246^2</calculatedColumnFormula>
    </tableColumn>
    <tableColumn id="6" xr3:uid="{9403366E-FF21-434C-BB14-EC4A9E494ADE}" name="Orde 2 (Ct3)"/>
    <tableColumn id="7" xr3:uid="{223ADD41-A221-4FBB-8F23-8323241946CE}" name="Error 2">
      <calculatedColumnFormula>B246-F246</calculatedColumnFormula>
    </tableColumn>
    <tableColumn id="8" xr3:uid="{39DD5712-AE47-4B75-9493-A6D3F3807E7C}" name="Error^2 2">
      <calculatedColumnFormula>G246^2</calculatedColumnFormula>
    </tableColumn>
  </tableColumns>
  <tableStyleInfo name="TableStyleDark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814F8D6-E624-4398-9DCA-B6DD73FD4FA3}" name="Table32" displayName="Table32" ref="A271:H278" totalsRowShown="0">
  <autoFilter ref="A271:H278" xr:uid="{D814F8D6-E624-4398-9DCA-B6DD73FD4FA3}"/>
  <tableColumns count="8">
    <tableColumn id="1" xr3:uid="{3C12753F-F078-4ECD-B2A7-775040C58C4A}" name="Time (min)"/>
    <tableColumn id="2" xr3:uid="{405D50C2-6EE0-4CED-A5C1-C6268275984F}" name="Concentration (Ct1)"/>
    <tableColumn id="3" xr3:uid="{7C824B05-6299-4D27-A7CA-16402152EC1A}" name="Orde 1 (Ct2)"/>
    <tableColumn id="4" xr3:uid="{09B6A684-C491-40D7-80BA-E2A8DAAB9339}" name="Error 1">
      <calculatedColumnFormula>B272-C272</calculatedColumnFormula>
    </tableColumn>
    <tableColumn id="5" xr3:uid="{25213507-061E-441D-826E-AE9F3399CBA0}" name="Error^2 2">
      <calculatedColumnFormula>D272^2</calculatedColumnFormula>
    </tableColumn>
    <tableColumn id="6" xr3:uid="{3E4AAEE1-D415-4856-AA02-EEDFEA811BC5}" name="Orde 2 (Ct3)"/>
    <tableColumn id="7" xr3:uid="{58EDF388-6021-40ED-A597-1BE3EB5271CF}" name="Error 2">
      <calculatedColumnFormula>B272-F272</calculatedColumnFormula>
    </tableColumn>
    <tableColumn id="8" xr3:uid="{A5BD7B80-B11B-47E1-A53E-B9554009C14D}" name="Error^2 22">
      <calculatedColumnFormula>G272^2</calculatedColumnFormula>
    </tableColumn>
  </tableColumns>
  <tableStyleInfo name="TableStyleDark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888B49-E665-4725-9270-F4EE6E21E3A6}" name="Table2" displayName="Table2" ref="A2:H9" totalsRowShown="0">
  <autoFilter ref="A2:H9" xr:uid="{5E888B49-E665-4725-9270-F4EE6E21E3A6}"/>
  <tableColumns count="8">
    <tableColumn id="1" xr3:uid="{73F07438-100F-4461-BA94-45348E35F557}" name="Time (min)"/>
    <tableColumn id="2" xr3:uid="{2FB65C31-7460-4106-9CE6-334453F86F8E}" name="Concentration EFB 0,85mm (Ct1)"/>
    <tableColumn id="3" xr3:uid="{2AAE59E2-4477-4223-A39D-B50043862CF3}" name="Orde 1 (Ct2)"/>
    <tableColumn id="4" xr3:uid="{3BEC9C6E-BEDE-4B07-AC9E-C5AE2E4370F7}" name="Error 1"/>
    <tableColumn id="5" xr3:uid="{B9686AC5-9A7F-40FE-98C3-E9BFE21A8B29}" name="Error ^2 1"/>
    <tableColumn id="6" xr3:uid="{03352925-F7E8-4E09-8D4A-2C05649C914C}" name="Orde 2 (Ct3)"/>
    <tableColumn id="7" xr3:uid="{3462A512-E865-4A16-A7AC-AE3340AC74D7}" name="Error 2"/>
    <tableColumn id="8" xr3:uid="{2C84CE52-D0B3-4DCF-8B62-D73DEEAC69F0}" name="Error^2 2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0956B8-0CFF-4726-A496-E05A77BFAD88}" name="Table6" displayName="Table6" ref="A28:H35" totalsRowShown="0">
  <autoFilter ref="A28:H35" xr:uid="{940956B8-0CFF-4726-A496-E05A77BFAD88}"/>
  <tableColumns count="8">
    <tableColumn id="1" xr3:uid="{40591CC2-5B6C-4390-93D3-0EE541E95BFF}" name="Time (min)"/>
    <tableColumn id="2" xr3:uid="{C48D027F-D6EB-4E13-8F6C-C696F7958608}" name="Concentration (Ct1)" dataDxfId="4"/>
    <tableColumn id="3" xr3:uid="{6BB836AF-0B6A-48E6-951E-5BC684B0E516}" name="Orde 1"/>
    <tableColumn id="4" xr3:uid="{CE9802DF-1881-4D27-B877-253E1AB1E529}" name="Error 1">
      <calculatedColumnFormula>B29-C29</calculatedColumnFormula>
    </tableColumn>
    <tableColumn id="5" xr3:uid="{CFB3E695-98D0-43E3-A0B2-DFDE654AB139}" name="Error^2 1">
      <calculatedColumnFormula>D29^2</calculatedColumnFormula>
    </tableColumn>
    <tableColumn id="6" xr3:uid="{42DC8FDE-A0AB-4738-81C0-3A5ED7DE0FF2}" name="Orde 2"/>
    <tableColumn id="7" xr3:uid="{2B32C32E-3A3E-41BE-9CCF-B07BB3D35242}" name="Error 2">
      <calculatedColumnFormula>B29-F29</calculatedColumnFormula>
    </tableColumn>
    <tableColumn id="8" xr3:uid="{92DD1D91-36C6-4901-9D9C-3BDF86116238}" name="Error^2 2">
      <calculatedColumnFormula>G29^2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88FE48-347A-4747-BFB2-7B6234FCDEE5}" name="Table10" displayName="Table10" ref="A55:H62" totalsRowShown="0">
  <autoFilter ref="A55:H62" xr:uid="{F688FE48-347A-4747-BFB2-7B6234FCDEE5}"/>
  <tableColumns count="8">
    <tableColumn id="1" xr3:uid="{D4E2F967-46B6-4918-AA6D-33DBB4BAE0A7}" name="Time (min)"/>
    <tableColumn id="2" xr3:uid="{BAAE30F1-080C-4A85-A398-B1E026C2FB6A}" name="Concentration (Ct1)" dataDxfId="3"/>
    <tableColumn id="3" xr3:uid="{D3E7AC44-1070-44BF-9E21-C106842AA95B}" name="Orde 1 (Ct2)"/>
    <tableColumn id="4" xr3:uid="{60CDC97C-E2E2-490E-BA87-DAF55A91A134}" name="Error 1">
      <calculatedColumnFormula>B56-C56</calculatedColumnFormula>
    </tableColumn>
    <tableColumn id="5" xr3:uid="{7DCF1610-B572-44F7-A7A4-652D3EC8C2E9}" name="Error^2 1">
      <calculatedColumnFormula>D56^2</calculatedColumnFormula>
    </tableColumn>
    <tableColumn id="6" xr3:uid="{81CDA4B8-13B6-4D1E-A7AD-6626874BCC3F}" name="Orde 2 (Ct3)"/>
    <tableColumn id="7" xr3:uid="{F5D4F051-C820-4B2F-ACC5-94ADC0098500}" name="Error 2">
      <calculatedColumnFormula>B56-F56</calculatedColumnFormula>
    </tableColumn>
    <tableColumn id="8" xr3:uid="{6FFFAC52-6DE7-4F81-A4A6-DB78037EF988}" name="Error^2 2">
      <calculatedColumnFormula>G56^2</calculatedColumnFormula>
    </tableColumn>
  </tableColumns>
  <tableStyleInfo name="TableStyleMedium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3F875B6-B4B2-44B1-9852-953E7287DC1F}" name="Table13" displayName="Table13" ref="A81:H88" totalsRowShown="0">
  <autoFilter ref="A81:H88" xr:uid="{A3F875B6-B4B2-44B1-9852-953E7287DC1F}"/>
  <tableColumns count="8">
    <tableColumn id="1" xr3:uid="{103A3391-EE02-4951-AC62-90D35074B93B}" name="Time (min)"/>
    <tableColumn id="2" xr3:uid="{B02DF79D-0B12-41CA-BA6F-AFAB8E4A3F31}" name="Concentration (Ct1)" dataDxfId="2"/>
    <tableColumn id="3" xr3:uid="{1DAC6D16-E5C9-4149-A7F1-A198CE40C9CC}" name="Orde 1 (Ct2)"/>
    <tableColumn id="4" xr3:uid="{403A16D7-5B5C-49DE-9CA0-C2FDE047E9C2}" name="Error 1">
      <calculatedColumnFormula>B82-C82</calculatedColumnFormula>
    </tableColumn>
    <tableColumn id="5" xr3:uid="{CDEEEE45-0820-4815-B15A-B2AB526C8216}" name="Error^2 1">
      <calculatedColumnFormula>D82^2</calculatedColumnFormula>
    </tableColumn>
    <tableColumn id="6" xr3:uid="{962157B4-0540-4D93-92EA-54A74DAAAA20}" name="Orde 2 (Ct2)"/>
    <tableColumn id="7" xr3:uid="{488DED1E-692D-4EB2-91F8-0CCDBF6C7404}" name="Error 2">
      <calculatedColumnFormula>B82-F82</calculatedColumnFormula>
    </tableColumn>
    <tableColumn id="8" xr3:uid="{96784A1A-8BF1-4EA6-8E2F-621AA2287379}" name="Error^2 2">
      <calculatedColumnFormula>G82^2</calculatedColumnFormula>
    </tableColumn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22D35B-A7B1-401D-B574-908D4BD0F338}" name="Table15" displayName="Table15" ref="A108:H115" totalsRowShown="0">
  <autoFilter ref="A108:H115" xr:uid="{4B22D35B-A7B1-401D-B574-908D4BD0F338}"/>
  <tableColumns count="8">
    <tableColumn id="1" xr3:uid="{8195918C-EEFE-4741-B005-F8BABC4E0CDF}" name="Time (min)"/>
    <tableColumn id="2" xr3:uid="{08E641B0-7A11-4F29-971C-5593A38CD4ED}" name="Concentration (Ct1)" dataDxfId="1"/>
    <tableColumn id="3" xr3:uid="{88002531-3A0D-4559-B057-461477E21032}" name="Orde 1 (Ct2)"/>
    <tableColumn id="4" xr3:uid="{74CDF091-AF40-4AA3-862D-BF279D3EA8F7}" name="Error 1">
      <calculatedColumnFormula>B109-C109</calculatedColumnFormula>
    </tableColumn>
    <tableColumn id="5" xr3:uid="{3B43B696-F44C-4FF1-8548-3E3E0AAD59F1}" name="Error^2 1">
      <calculatedColumnFormula>D109^2</calculatedColumnFormula>
    </tableColumn>
    <tableColumn id="6" xr3:uid="{A57B33A1-DCEB-4847-8ABC-243A44B2FEE8}" name="Orde 2 (Ct3)"/>
    <tableColumn id="7" xr3:uid="{2CD6A95B-CD52-481C-88CF-249C8B4D67C0}" name="Error 2">
      <calculatedColumnFormula>B109-F109</calculatedColumnFormula>
    </tableColumn>
    <tableColumn id="8" xr3:uid="{59AF4F39-9224-48F1-9454-529905123503}" name="Error^2 2">
      <calculatedColumnFormula>G109^2</calculatedColumnFormula>
    </tableColumn>
  </tableColumns>
  <tableStyleInfo name="TableStyleMedium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F64A072-593B-48FA-A44E-2E9538FCE9B0}" name="Table18" displayName="Table18" ref="A136:H143" totalsRowShown="0">
  <autoFilter ref="A136:H143" xr:uid="{7F64A072-593B-48FA-A44E-2E9538FCE9B0}"/>
  <tableColumns count="8">
    <tableColumn id="1" xr3:uid="{C92539D8-7523-48A0-AF42-122F0C80CED5}" name="Time (min)"/>
    <tableColumn id="2" xr3:uid="{D948090E-3A24-4771-89EC-F0028F151CFE}" name="Concentration (Ct1)" dataDxfId="0"/>
    <tableColumn id="3" xr3:uid="{E0ED7158-88DA-47CB-94EA-5ED505A1B1F8}" name="Orde 1 (Ct2)"/>
    <tableColumn id="4" xr3:uid="{58AD979D-11E0-479F-BA01-B12C27D536CA}" name="Error 1">
      <calculatedColumnFormula>B137-C137</calculatedColumnFormula>
    </tableColumn>
    <tableColumn id="5" xr3:uid="{35A5C287-98C6-4289-8C40-BFF3ADECF16A}" name="Error^2 1">
      <calculatedColumnFormula>D137^2</calculatedColumnFormula>
    </tableColumn>
    <tableColumn id="6" xr3:uid="{F31E27DA-B1B4-4E7D-AF78-908986D83EF0}" name="Orde 2 (Ct3)"/>
    <tableColumn id="7" xr3:uid="{DF8EC195-EEB7-4B8B-AFE4-0F908CC3A50D}" name="Error 2">
      <calculatedColumnFormula>B137-F137</calculatedColumnFormula>
    </tableColumn>
    <tableColumn id="8" xr3:uid="{A1D544BA-3CA0-4179-AAD2-4595B00C460E}" name="Error^2 2">
      <calculatedColumnFormula>G137^2</calculatedColumnFormula>
    </tableColumn>
  </tableColumns>
  <tableStyleInfo name="TableStyleMedium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CB4BFEB-6848-49D5-B051-1FB5DE0047EA}" name="Table21" displayName="Table21" ref="A163:H170" totalsRowShown="0">
  <autoFilter ref="A163:H170" xr:uid="{8CB4BFEB-6848-49D5-B051-1FB5DE0047EA}"/>
  <tableColumns count="8">
    <tableColumn id="1" xr3:uid="{7B35B1AB-0143-429B-B328-AD58ACBC6DAF}" name="Time (min)"/>
    <tableColumn id="2" xr3:uid="{2520209A-7EF5-47A4-91C8-4A007EB5DA1A}" name="Concentration (Ct1)"/>
    <tableColumn id="3" xr3:uid="{74021A58-ABDA-44EE-805B-A60A3D10E228}" name="Orde 1 (Ct2)"/>
    <tableColumn id="4" xr3:uid="{8F60BDBF-004E-4753-BFF2-A05E61B58B2B}" name="Error 1">
      <calculatedColumnFormula>B164-C164</calculatedColumnFormula>
    </tableColumn>
    <tableColumn id="5" xr3:uid="{7A9CE1FF-9B01-401F-A964-D30F3DCC4F50}" name="Error^2 1">
      <calculatedColumnFormula>D164^2</calculatedColumnFormula>
    </tableColumn>
    <tableColumn id="6" xr3:uid="{0FF993AC-D5EB-45F8-9C79-CF0DEEB43BAD}" name="Orde 2 (Ct3)"/>
    <tableColumn id="7" xr3:uid="{00D9CE59-B896-4148-AE69-95D50C0444EB}" name="Error 2">
      <calculatedColumnFormula>B164-F164</calculatedColumnFormula>
    </tableColumn>
    <tableColumn id="8" xr3:uid="{A86A1903-F2AA-4F8F-A481-C03A2AD9381B}" name="Error^2 2">
      <calculatedColumnFormula>G164^2</calculatedColumnFormula>
    </tableColumn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5F5D96E-FA2F-4229-B3C3-74BFE3A82B91}" name="Table24" displayName="Table24" ref="A190:H197" totalsRowShown="0">
  <autoFilter ref="A190:H197" xr:uid="{55F5D96E-FA2F-4229-B3C3-74BFE3A82B91}"/>
  <tableColumns count="8">
    <tableColumn id="1" xr3:uid="{EA2A3DEB-A256-4D84-B212-D1A4AF7828A0}" name="Time (min)"/>
    <tableColumn id="2" xr3:uid="{33E41DD8-0606-4204-B803-C216A88269E0}" name="Concentration (Ct1)"/>
    <tableColumn id="3" xr3:uid="{48F68B96-5A8A-4F7E-9F16-E8ED6852941F}" name="Orde 1 (Ct2)"/>
    <tableColumn id="4" xr3:uid="{2169CC3D-D78E-47E8-86E3-89E6B5FA6755}" name="Error 1">
      <calculatedColumnFormula>B191-C191</calculatedColumnFormula>
    </tableColumn>
    <tableColumn id="5" xr3:uid="{A9D9B5C7-BE47-4AFE-9821-A137D61F847F}" name="Error^2 1">
      <calculatedColumnFormula>D191^2</calculatedColumnFormula>
    </tableColumn>
    <tableColumn id="6" xr3:uid="{37A37784-E507-4289-B3D3-D3E322D995E8}" name="Orde 2 (Ct3)"/>
    <tableColumn id="7" xr3:uid="{28BFA340-A2A1-4387-A7F1-9976E8FE5992}" name="Error 2">
      <calculatedColumnFormula>B191-F191</calculatedColumnFormula>
    </tableColumn>
    <tableColumn id="8" xr3:uid="{3042F824-BC9F-425D-8BBE-EDCCA26A5A37}" name="Error^2 2">
      <calculatedColumnFormula>G191^2</calculatedColumnFormula>
    </tableColumn>
  </tableColumns>
  <tableStyleInfo name="TableStyleDark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ADAC235-2984-4006-B4B7-C514DFF32DA2}" name="Table27" displayName="Table27" ref="A218:H225" totalsRowShown="0">
  <autoFilter ref="A218:H225" xr:uid="{2ADAC235-2984-4006-B4B7-C514DFF32DA2}"/>
  <tableColumns count="8">
    <tableColumn id="1" xr3:uid="{2282DA20-0B97-4EBE-8CAC-44E8B3EBCFE0}" name="Time (min)"/>
    <tableColumn id="2" xr3:uid="{61B979FE-BFCF-4DE1-82FC-CA0842EE74FE}" name="Concentration (Ct1)"/>
    <tableColumn id="3" xr3:uid="{36D9F7A3-6605-4C1C-9057-B4D9E07C76AB}" name="Orde 1 (Ct2)"/>
    <tableColumn id="4" xr3:uid="{7A005AF7-5CBD-4541-8C89-BC8B715A3F6F}" name="Error 1">
      <calculatedColumnFormula>B219-C219</calculatedColumnFormula>
    </tableColumn>
    <tableColumn id="5" xr3:uid="{25C62E0C-CDA5-4B1A-82DB-2AB5DCD93E3E}" name="Error^2 1">
      <calculatedColumnFormula>D219^2</calculatedColumnFormula>
    </tableColumn>
    <tableColumn id="6" xr3:uid="{C5C5BAA5-D0F6-479E-A526-01233610136A}" name="Orde 2 (Ct3)"/>
    <tableColumn id="7" xr3:uid="{310B0D6B-F29E-4B0E-B4E9-8E34D6B0BE7B}" name="Error 2">
      <calculatedColumnFormula>B219-F219</calculatedColumnFormula>
    </tableColumn>
    <tableColumn id="8" xr3:uid="{7C66823D-5B3D-46DB-8BA1-589B9AC28AB8}" name="Error^2 2">
      <calculatedColumnFormula>G219^2</calculatedColumnFormula>
    </tableColumn>
  </tableColumns>
  <tableStyleInfo name="TableStyleDark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0DD22A7-3DF1-4A5B-8ED2-0265A7DF8AB8}" name="Table30" displayName="Table30" ref="A244:H251" totalsRowShown="0">
  <autoFilter ref="A244:H251" xr:uid="{80DD22A7-3DF1-4A5B-8ED2-0265A7DF8AB8}"/>
  <tableColumns count="8">
    <tableColumn id="1" xr3:uid="{5DE1E6A3-4CD9-45DC-9825-14E709E38ECE}" name="Time (min)"/>
    <tableColumn id="2" xr3:uid="{760CE206-0809-4C64-BCE9-7778065899FB}" name="Concentration (Ct1)"/>
    <tableColumn id="3" xr3:uid="{D4599E14-62E2-44FA-A956-C4BB74BD37A5}" name="Orde 1 (Ct2)"/>
    <tableColumn id="4" xr3:uid="{CB5F2242-6B4F-4F2E-B1BB-1C39CEC7B777}" name="Error 1">
      <calculatedColumnFormula>B245-C245</calculatedColumnFormula>
    </tableColumn>
    <tableColumn id="5" xr3:uid="{E85856F8-C0E7-443D-821A-E8175819AD06}" name="Error^2 1">
      <calculatedColumnFormula>D245^2</calculatedColumnFormula>
    </tableColumn>
    <tableColumn id="6" xr3:uid="{EFB7B598-FA18-4DF2-B32B-9C23C5092787}" name="Orde 2 (Ct3)"/>
    <tableColumn id="7" xr3:uid="{43C05793-A4B9-4997-BBDC-B65D8D850DC4}" name="Error 2">
      <calculatedColumnFormula>B245-F245</calculatedColumnFormula>
    </tableColumn>
    <tableColumn id="8" xr3:uid="{0689D3D0-F4F9-403A-B6E0-F503FB579113}" name="Error^2 2 ">
      <calculatedColumnFormula>G245^2</calculatedColumnFormula>
    </tableColumn>
  </tableColumns>
  <tableStyleInfo name="TableStyleDark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1B4234C-B946-430E-86C7-73FD87894586}" name="Table33" displayName="Table33" ref="A271:H278" totalsRowShown="0">
  <autoFilter ref="A271:H278" xr:uid="{91B4234C-B946-430E-86C7-73FD87894586}"/>
  <tableColumns count="8">
    <tableColumn id="1" xr3:uid="{5240E187-B2E0-47BB-824C-C5C9C994868A}" name="Time (min)"/>
    <tableColumn id="2" xr3:uid="{C4E11BA6-7C2D-422D-8ECE-24D19B007A4E}" name="Concentration (Ct1)"/>
    <tableColumn id="3" xr3:uid="{5575B72C-7A45-44E3-9C6D-68FAEFFC8A29}" name="Orde 1 (Ct2)"/>
    <tableColumn id="4" xr3:uid="{3B3C2CE8-7CD3-4375-A5C6-C0B081D783B1}" name="Error 1">
      <calculatedColumnFormula>B272-C272</calculatedColumnFormula>
    </tableColumn>
    <tableColumn id="5" xr3:uid="{D7AC75FE-4987-4571-8F79-DA6535C4FA2E}" name="Error^2 1">
      <calculatedColumnFormula>D272^2</calculatedColumnFormula>
    </tableColumn>
    <tableColumn id="6" xr3:uid="{DCB6A6E6-5077-4668-82EE-E4F16528C72C}" name="Orde 2(Ct3)"/>
    <tableColumn id="7" xr3:uid="{EBBC1A65-F414-4672-A335-5F127540DD63}" name="Error 2">
      <calculatedColumnFormula>B272-F272</calculatedColumnFormula>
    </tableColumn>
    <tableColumn id="8" xr3:uid="{9DF67FD8-4426-482E-A7AE-BBBC87429905}" name="Error^2 2">
      <calculatedColumnFormula>G272^2</calculatedColumnFormula>
    </tableColumn>
  </tableColumns>
  <tableStyleInfo name="TableStyleDark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63F1BC9-A3B2-4128-A31C-DD578A4D1771}" name="Table34" displayName="Table34" ref="A1:H34" totalsRowShown="0">
  <autoFilter ref="A1:H34" xr:uid="{163F1BC9-A3B2-4128-A31C-DD578A4D1771}"/>
  <tableColumns count="8">
    <tableColumn id="1" xr3:uid="{830A0E35-6896-4D58-924E-BCC670145138}" name="EFB (mm)"/>
    <tableColumn id="2" xr3:uid="{BA8EA7FA-A128-4476-84EE-B25C144EFE94}" name="Logam"/>
    <tableColumn id="3" xr3:uid="{2D004C1B-CEFC-4B99-9978-6888EC58405D}" name="Csat"/>
    <tableColumn id="4" xr3:uid="{9E78B345-8165-402A-81AE-A1783B575C0F}" name="k1"/>
    <tableColumn id="5" xr3:uid="{0CDE3F01-1D1E-4153-8C17-E2C829E8223B}" name="k2"/>
    <tableColumn id="6" xr3:uid="{34429F75-262D-4B16-B521-7B4E48BABC67}" name="R^2 Orde 1"/>
    <tableColumn id="7" xr3:uid="{AA806239-E318-465B-887F-20FCB9C2C6C1}" name="R^2 Orde 2"/>
    <tableColumn id="8" xr3:uid="{EC9B0D1A-C26D-4FEF-BD5B-B56B982EB534}" name="Model Terbaik">
      <calculatedColumnFormula>IF(F2&gt;G2,"Orde 1",IF(G2&gt;F2,"Orde 2"))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9.xml"/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12" Type="http://schemas.openxmlformats.org/officeDocument/2006/relationships/table" Target="../tables/table33.xml"/><Relationship Id="rId2" Type="http://schemas.openxmlformats.org/officeDocument/2006/relationships/table" Target="../tables/table23.xml"/><Relationship Id="rId1" Type="http://schemas.openxmlformats.org/officeDocument/2006/relationships/drawing" Target="../drawings/drawing4.xml"/><Relationship Id="rId6" Type="http://schemas.openxmlformats.org/officeDocument/2006/relationships/table" Target="../tables/table27.xml"/><Relationship Id="rId11" Type="http://schemas.openxmlformats.org/officeDocument/2006/relationships/table" Target="../tables/table32.xml"/><Relationship Id="rId5" Type="http://schemas.openxmlformats.org/officeDocument/2006/relationships/table" Target="../tables/table26.xml"/><Relationship Id="rId10" Type="http://schemas.openxmlformats.org/officeDocument/2006/relationships/table" Target="../tables/table31.xml"/><Relationship Id="rId4" Type="http://schemas.openxmlformats.org/officeDocument/2006/relationships/table" Target="../tables/table25.xml"/><Relationship Id="rId9" Type="http://schemas.openxmlformats.org/officeDocument/2006/relationships/table" Target="../tables/table3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BEF8-06D3-48AD-9499-A37064C354BC}">
  <dimension ref="A16:I69"/>
  <sheetViews>
    <sheetView zoomScale="54" zoomScaleNormal="85" workbookViewId="0">
      <selection activeCell="F10" sqref="F10"/>
    </sheetView>
  </sheetViews>
  <sheetFormatPr defaultRowHeight="14.5" x14ac:dyDescent="0.35"/>
  <cols>
    <col min="1" max="1" width="22.453125" customWidth="1"/>
    <col min="2" max="2" width="20.81640625" customWidth="1"/>
    <col min="3" max="3" width="21.1796875" customWidth="1"/>
    <col min="4" max="4" width="18.54296875" customWidth="1"/>
    <col min="5" max="5" width="19.1796875" customWidth="1"/>
    <col min="6" max="6" width="36.26953125" customWidth="1"/>
    <col min="8" max="8" width="24.26953125" customWidth="1"/>
    <col min="9" max="9" width="30.453125" customWidth="1"/>
    <col min="10" max="10" width="23.453125" customWidth="1"/>
    <col min="13" max="13" width="21.1796875" customWidth="1"/>
    <col min="17" max="17" width="24.26953125" customWidth="1"/>
  </cols>
  <sheetData>
    <row r="16" spans="1:8" x14ac:dyDescent="0.35">
      <c r="A16" t="s">
        <v>0</v>
      </c>
      <c r="B16" t="s">
        <v>1</v>
      </c>
      <c r="C16" t="s">
        <v>14</v>
      </c>
      <c r="D16" t="s">
        <v>2</v>
      </c>
      <c r="E16" t="s">
        <v>3</v>
      </c>
      <c r="F16" t="s">
        <v>15</v>
      </c>
      <c r="G16" t="s">
        <v>4</v>
      </c>
      <c r="H16" t="s">
        <v>5</v>
      </c>
    </row>
    <row r="17" spans="1:9" x14ac:dyDescent="0.35">
      <c r="A17">
        <v>0</v>
      </c>
      <c r="B17">
        <v>0</v>
      </c>
    </row>
    <row r="18" spans="1:9" x14ac:dyDescent="0.35">
      <c r="A18">
        <v>5</v>
      </c>
      <c r="B18">
        <v>127</v>
      </c>
      <c r="C18">
        <f>A27*(1-EXP((-B27)*A18))</f>
        <v>57.525217550012989</v>
      </c>
      <c r="D18">
        <f t="shared" ref="D18:D23" si="0">B18-C18</f>
        <v>69.474782449987003</v>
      </c>
      <c r="E18">
        <f>D18^2</f>
        <v>4826.7453964730221</v>
      </c>
      <c r="F18">
        <f>(C27*A18*A27^2)/(1+C27*A18*A27)</f>
        <v>144.22699055330631</v>
      </c>
      <c r="G18">
        <f t="shared" ref="G18:G23" si="1">B18-F18</f>
        <v>-17.226990553306308</v>
      </c>
      <c r="H18">
        <f>G18^2</f>
        <v>296.76920352370479</v>
      </c>
    </row>
    <row r="19" spans="1:9" x14ac:dyDescent="0.35">
      <c r="A19">
        <v>10</v>
      </c>
      <c r="B19">
        <v>133.19999999999999</v>
      </c>
      <c r="C19">
        <f>A27*(1-EXP((-B27)*A19))</f>
        <v>92.416025700735119</v>
      </c>
      <c r="D19">
        <f t="shared" si="0"/>
        <v>40.78397429926487</v>
      </c>
      <c r="E19">
        <f t="shared" ref="E19:E23" si="2">D19^2</f>
        <v>1663.3325596430975</v>
      </c>
      <c r="F19">
        <f>(C27*A19*A27^2)/(1+C27*A19*A27)</f>
        <v>145.20679347826083</v>
      </c>
      <c r="G19">
        <f t="shared" si="1"/>
        <v>-12.006793478260846</v>
      </c>
      <c r="H19">
        <f t="shared" ref="H19:H23" si="3">G19^2</f>
        <v>144.16308962960719</v>
      </c>
    </row>
    <row r="20" spans="1:9" x14ac:dyDescent="0.35">
      <c r="A20">
        <v>15</v>
      </c>
      <c r="B20">
        <v>134.6</v>
      </c>
      <c r="C20">
        <f>A27*(1-EXP((-B27)*A20))</f>
        <v>113.57837058629956</v>
      </c>
      <c r="D20">
        <f t="shared" si="0"/>
        <v>21.021629413700438</v>
      </c>
      <c r="E20">
        <f t="shared" si="2"/>
        <v>441.90890320695542</v>
      </c>
      <c r="F20">
        <f>(C27*A20*A27^2)/(1+C27*A20*A27)</f>
        <v>145.53635950975939</v>
      </c>
      <c r="G20">
        <f t="shared" si="1"/>
        <v>-10.936359509759399</v>
      </c>
      <c r="H20">
        <f t="shared" si="3"/>
        <v>119.60395932670484</v>
      </c>
    </row>
    <row r="21" spans="1:9" x14ac:dyDescent="0.35">
      <c r="A21">
        <v>20</v>
      </c>
      <c r="B21">
        <v>139</v>
      </c>
      <c r="C21">
        <f>A27*(1-EXP((-B27)*A21))</f>
        <v>126.41398159080721</v>
      </c>
      <c r="D21">
        <f t="shared" si="0"/>
        <v>12.586018409192789</v>
      </c>
      <c r="E21">
        <f t="shared" si="2"/>
        <v>158.40785939653978</v>
      </c>
      <c r="F21">
        <f>(C27*A21*A27^2)/(1+C27*A21*A27)</f>
        <v>145.70170415814584</v>
      </c>
      <c r="G21">
        <f t="shared" si="1"/>
        <v>-6.7017041581458443</v>
      </c>
      <c r="H21">
        <f t="shared" si="3"/>
        <v>44.912838623309298</v>
      </c>
    </row>
    <row r="22" spans="1:9" x14ac:dyDescent="0.35">
      <c r="A22">
        <v>25</v>
      </c>
      <c r="B22">
        <v>143.80000000000001</v>
      </c>
      <c r="C22">
        <f>A27*(1-EXP((-B27)*A22))</f>
        <v>134.19917320118597</v>
      </c>
      <c r="D22">
        <f t="shared" si="0"/>
        <v>9.6008267988140403</v>
      </c>
      <c r="E22">
        <f t="shared" si="2"/>
        <v>92.175875220825858</v>
      </c>
      <c r="F22">
        <f>(C27*A22*A27^2)/(1+C27*A22*A27)</f>
        <v>145.80109140518414</v>
      </c>
      <c r="G22">
        <f t="shared" si="1"/>
        <v>-2.0010914051841269</v>
      </c>
      <c r="H22">
        <f t="shared" si="3"/>
        <v>4.0043668119017832</v>
      </c>
    </row>
    <row r="23" spans="1:9" x14ac:dyDescent="0.35">
      <c r="A23">
        <v>30</v>
      </c>
      <c r="B23">
        <v>146.19999999999999</v>
      </c>
      <c r="C23">
        <f>A27*(1-EXP((-B27)*A23))</f>
        <v>138.92113060461827</v>
      </c>
      <c r="D23">
        <f t="shared" si="0"/>
        <v>7.2788693953817187</v>
      </c>
      <c r="E23">
        <f t="shared" si="2"/>
        <v>52.981939675024627</v>
      </c>
      <c r="F23">
        <f>(C27*A23*A27^2)/(1+C27*A23*A27)</f>
        <v>145.86742493175612</v>
      </c>
      <c r="G23">
        <f t="shared" si="1"/>
        <v>0.33257506824386951</v>
      </c>
      <c r="H23">
        <f t="shared" si="3"/>
        <v>0.11060617601741446</v>
      </c>
    </row>
    <row r="25" spans="1:9" x14ac:dyDescent="0.35">
      <c r="A25" t="s">
        <v>6</v>
      </c>
      <c r="E25" t="s">
        <v>10</v>
      </c>
      <c r="F25" t="s">
        <v>13</v>
      </c>
      <c r="H25" t="s">
        <v>11</v>
      </c>
      <c r="I25" t="s">
        <v>23</v>
      </c>
    </row>
    <row r="26" spans="1:9" x14ac:dyDescent="0.35">
      <c r="A26" t="s">
        <v>7</v>
      </c>
      <c r="B26" t="s">
        <v>8</v>
      </c>
      <c r="C26" t="s">
        <v>9</v>
      </c>
      <c r="E26">
        <f>SUM(E18:E23)</f>
        <v>7235.5525336154651</v>
      </c>
      <c r="F26" s="1">
        <v>280.37576289999998</v>
      </c>
      <c r="H26">
        <f>SUM(H18:H23)</f>
        <v>609.56406409124543</v>
      </c>
      <c r="I26">
        <v>43.96908234</v>
      </c>
    </row>
    <row r="27" spans="1:9" x14ac:dyDescent="0.35">
      <c r="A27">
        <v>146.19999999999999</v>
      </c>
      <c r="B27">
        <v>0.1</v>
      </c>
      <c r="C27">
        <v>0.1</v>
      </c>
    </row>
    <row r="29" spans="1:9" x14ac:dyDescent="0.35">
      <c r="A29" t="s">
        <v>12</v>
      </c>
    </row>
    <row r="30" spans="1:9" x14ac:dyDescent="0.35">
      <c r="A30" t="s">
        <v>8</v>
      </c>
      <c r="B30" t="s">
        <v>9</v>
      </c>
    </row>
    <row r="31" spans="1:9" x14ac:dyDescent="0.35">
      <c r="A31" s="3">
        <v>0.36902977355663302</v>
      </c>
      <c r="B31" s="4">
        <v>8.2332120101116305E-3</v>
      </c>
    </row>
    <row r="35" spans="1:9" x14ac:dyDescent="0.35">
      <c r="A35" t="s">
        <v>0</v>
      </c>
      <c r="B35" t="s">
        <v>17</v>
      </c>
      <c r="C35" t="s">
        <v>16</v>
      </c>
      <c r="D35" t="s">
        <v>2</v>
      </c>
      <c r="E35" t="s">
        <v>3</v>
      </c>
      <c r="F35" t="s">
        <v>15</v>
      </c>
      <c r="G35" t="s">
        <v>4</v>
      </c>
      <c r="H35" t="s">
        <v>5</v>
      </c>
    </row>
    <row r="36" spans="1:9" x14ac:dyDescent="0.35">
      <c r="A36">
        <v>0</v>
      </c>
      <c r="B36">
        <v>0</v>
      </c>
    </row>
    <row r="37" spans="1:9" x14ac:dyDescent="0.35">
      <c r="A37">
        <v>5</v>
      </c>
      <c r="B37">
        <v>115.5</v>
      </c>
      <c r="C37">
        <f>A46*(1-EXP(-B46)*A37)</f>
        <v>-429.59840629291733</v>
      </c>
      <c r="D37">
        <f>B37-C37</f>
        <v>545.09840629291739</v>
      </c>
      <c r="E37">
        <f>D37^2</f>
        <v>297132.27254307846</v>
      </c>
      <c r="F37">
        <f>(C46*A37*A46^2)/(1+C46*A37*A46)</f>
        <v>119.93228410008071</v>
      </c>
      <c r="G37">
        <f>B37-F37</f>
        <v>-4.4322841000807074</v>
      </c>
      <c r="H37">
        <f>G37^2</f>
        <v>19.645142343828248</v>
      </c>
    </row>
    <row r="38" spans="1:9" x14ac:dyDescent="0.35">
      <c r="A38">
        <v>10</v>
      </c>
      <c r="B38">
        <v>115.7</v>
      </c>
      <c r="C38">
        <f>A46*(1-EXP(-B46)*A38)</f>
        <v>-981.09681258583464</v>
      </c>
      <c r="D38">
        <f t="shared" ref="D38:D42" si="4">B38-C38</f>
        <v>1096.7968125858347</v>
      </c>
      <c r="E38">
        <f t="shared" ref="E38:E42" si="5">D38^2</f>
        <v>1202963.2480984465</v>
      </c>
      <c r="F38">
        <f>(C46*A38*A46^2)/(1+C46*A38*A46)</f>
        <v>120.90813669650122</v>
      </c>
      <c r="G38">
        <f t="shared" ref="G38:G42" si="6">B38-F38</f>
        <v>-5.2081366965012137</v>
      </c>
      <c r="H38">
        <f t="shared" ref="H38:H42" si="7">G38^2</f>
        <v>27.124687849442576</v>
      </c>
    </row>
    <row r="39" spans="1:9" x14ac:dyDescent="0.35">
      <c r="A39">
        <v>15</v>
      </c>
      <c r="B39">
        <v>120.2</v>
      </c>
      <c r="C39">
        <f>A46*(1-EXP(-B46)*A39)</f>
        <v>-1532.5952188787519</v>
      </c>
      <c r="D39">
        <f t="shared" si="4"/>
        <v>1652.7952188787519</v>
      </c>
      <c r="E39">
        <f t="shared" si="5"/>
        <v>2731732.0355484616</v>
      </c>
      <c r="F39">
        <f>(C46*A39*A46^2)/(1+C46*A39*A46)</f>
        <v>121.23695947783519</v>
      </c>
      <c r="G39">
        <f t="shared" si="6"/>
        <v>-1.0369594778351825</v>
      </c>
      <c r="H39">
        <f t="shared" si="7"/>
        <v>1.0752849586722144</v>
      </c>
    </row>
    <row r="40" spans="1:9" x14ac:dyDescent="0.35">
      <c r="A40">
        <v>20</v>
      </c>
      <c r="B40">
        <v>120.2</v>
      </c>
      <c r="C40">
        <f>A46*(1-EXP(-B46)*A40)</f>
        <v>-2084.0936251716694</v>
      </c>
      <c r="D40">
        <f t="shared" si="4"/>
        <v>2204.2936251716692</v>
      </c>
      <c r="E40">
        <f t="shared" si="5"/>
        <v>4858910.3859724589</v>
      </c>
      <c r="F40">
        <f>(C46*A40*A46^2)/(1+C46*A40*A46)</f>
        <v>121.40204248366013</v>
      </c>
      <c r="G40">
        <f t="shared" si="6"/>
        <v>-1.2020424836601222</v>
      </c>
      <c r="H40">
        <f t="shared" si="7"/>
        <v>1.4449061325237953</v>
      </c>
    </row>
    <row r="41" spans="1:9" x14ac:dyDescent="0.35">
      <c r="A41">
        <v>25</v>
      </c>
      <c r="B41">
        <v>121.6</v>
      </c>
      <c r="C41">
        <f>A46*(1-EXP(-B46)*A41)</f>
        <v>-2635.5920314645864</v>
      </c>
      <c r="D41">
        <f t="shared" si="4"/>
        <v>2757.1920314645863</v>
      </c>
      <c r="E41">
        <f t="shared" si="5"/>
        <v>7602107.898371812</v>
      </c>
      <c r="F41">
        <f>(C46*A41*A46^2)/(1+C46*A41*A46)</f>
        <v>121.50130825838103</v>
      </c>
      <c r="G41">
        <f t="shared" si="6"/>
        <v>9.8691741618964102E-2</v>
      </c>
      <c r="H41">
        <f t="shared" si="7"/>
        <v>9.740059863784371E-3</v>
      </c>
    </row>
    <row r="42" spans="1:9" x14ac:dyDescent="0.35">
      <c r="A42">
        <v>30</v>
      </c>
      <c r="B42">
        <v>121.9</v>
      </c>
      <c r="C42">
        <f>A46*(1-EXP(-B46)*A42)</f>
        <v>-3187.0904377575039</v>
      </c>
      <c r="D42">
        <f t="shared" si="4"/>
        <v>3308.990437757504</v>
      </c>
      <c r="E42">
        <f t="shared" si="5"/>
        <v>10949417.717170598</v>
      </c>
      <c r="F42">
        <f>(C46*A42*A46^2)/(1+C46*A42*A46)</f>
        <v>121.56757567493864</v>
      </c>
      <c r="G42">
        <f t="shared" si="6"/>
        <v>0.33242432506136765</v>
      </c>
      <c r="H42">
        <f t="shared" si="7"/>
        <v>0.11050593189250582</v>
      </c>
    </row>
    <row r="44" spans="1:9" x14ac:dyDescent="0.35">
      <c r="A44" t="s">
        <v>6</v>
      </c>
      <c r="E44" t="s">
        <v>10</v>
      </c>
      <c r="F44" t="s">
        <v>18</v>
      </c>
      <c r="H44" t="s">
        <v>11</v>
      </c>
      <c r="I44" t="s">
        <v>19</v>
      </c>
    </row>
    <row r="45" spans="1:9" x14ac:dyDescent="0.35">
      <c r="A45" t="s">
        <v>7</v>
      </c>
      <c r="B45" t="s">
        <v>8</v>
      </c>
      <c r="C45" t="s">
        <v>9</v>
      </c>
      <c r="E45">
        <f>SUM(E37:E42)</f>
        <v>27642263.557704858</v>
      </c>
      <c r="F45">
        <v>73.876153849999994</v>
      </c>
      <c r="H45">
        <f>SUM(H37:H42)</f>
        <v>49.410267276223124</v>
      </c>
      <c r="I45">
        <v>10.51018408</v>
      </c>
    </row>
    <row r="46" spans="1:9" x14ac:dyDescent="0.35">
      <c r="A46">
        <v>121.9</v>
      </c>
      <c r="B46">
        <v>0.1</v>
      </c>
      <c r="C46">
        <v>0.1</v>
      </c>
    </row>
    <row r="48" spans="1:9" x14ac:dyDescent="0.35">
      <c r="A48" t="s">
        <v>12</v>
      </c>
    </row>
    <row r="49" spans="1:9" x14ac:dyDescent="0.35">
      <c r="A49" t="s">
        <v>8</v>
      </c>
      <c r="B49" t="s">
        <v>9</v>
      </c>
    </row>
    <row r="50" spans="1:9" x14ac:dyDescent="0.35">
      <c r="A50" s="2">
        <v>7.4515320024509304</v>
      </c>
      <c r="B50" s="3">
        <v>2.6937232480169E-2</v>
      </c>
    </row>
    <row r="54" spans="1:9" x14ac:dyDescent="0.35">
      <c r="A54" t="s">
        <v>0</v>
      </c>
      <c r="B54" t="s">
        <v>20</v>
      </c>
      <c r="C54" t="s">
        <v>14</v>
      </c>
      <c r="D54" t="s">
        <v>2</v>
      </c>
      <c r="E54" t="s">
        <v>3</v>
      </c>
      <c r="F54" t="s">
        <v>15</v>
      </c>
      <c r="G54" t="s">
        <v>4</v>
      </c>
      <c r="H54" t="s">
        <v>5</v>
      </c>
    </row>
    <row r="55" spans="1:9" x14ac:dyDescent="0.35">
      <c r="A55">
        <v>0</v>
      </c>
      <c r="B55">
        <v>0</v>
      </c>
    </row>
    <row r="56" spans="1:9" x14ac:dyDescent="0.35">
      <c r="A56">
        <v>5</v>
      </c>
      <c r="B56">
        <v>94.7</v>
      </c>
      <c r="C56">
        <f>A65*(1-EXP(-B65)*A56)</f>
        <v>-467.3072081578411</v>
      </c>
      <c r="D56">
        <f>B56-C56</f>
        <v>562.00720815784109</v>
      </c>
      <c r="E56">
        <f>D56^2</f>
        <v>315852.1020213709</v>
      </c>
      <c r="F56">
        <f>(C65*A56*A65^2)/(1+C65*A56*A65)</f>
        <v>130.62971768202078</v>
      </c>
      <c r="G56">
        <f>B56-F56</f>
        <v>-35.92971768202078</v>
      </c>
      <c r="H56">
        <f>G56^2</f>
        <v>1290.9446127097167</v>
      </c>
    </row>
    <row r="57" spans="1:9" x14ac:dyDescent="0.35">
      <c r="A57">
        <v>10</v>
      </c>
      <c r="B57">
        <v>124.8</v>
      </c>
      <c r="C57">
        <f>A65*(1-EXP(-B65)*A57)</f>
        <v>-1067.2144163156822</v>
      </c>
      <c r="D57">
        <f t="shared" ref="D57:D61" si="8">B57-C57</f>
        <v>1192.0144163156822</v>
      </c>
      <c r="E57">
        <f t="shared" ref="E57:E61" si="9">D57^2</f>
        <v>1420898.3687044166</v>
      </c>
      <c r="F57">
        <f>(C65*A57*A65^2)/(1+C65*A57*A65)</f>
        <v>131.60748502994011</v>
      </c>
      <c r="G57">
        <f t="shared" ref="G57:G61" si="10">B57-F57</f>
        <v>-6.8074850299401106</v>
      </c>
      <c r="H57">
        <f t="shared" ref="H57:H61" si="11">G57^2</f>
        <v>46.341852432858708</v>
      </c>
    </row>
    <row r="58" spans="1:9" x14ac:dyDescent="0.35">
      <c r="A58">
        <v>15</v>
      </c>
      <c r="B58">
        <v>124.4</v>
      </c>
      <c r="C58">
        <f>A65*(1-EXP(-B65)*A58)</f>
        <v>-1667.1216244735233</v>
      </c>
      <c r="D58">
        <f t="shared" si="8"/>
        <v>1791.5216244735234</v>
      </c>
      <c r="E58">
        <f t="shared" si="9"/>
        <v>3209549.7309562522</v>
      </c>
      <c r="F58">
        <f>(C65*A58*A65^2)/(1+C65*A58*A65)</f>
        <v>131.93666833416711</v>
      </c>
      <c r="G58">
        <f t="shared" si="10"/>
        <v>-7.5366683341671035</v>
      </c>
      <c r="H58">
        <f t="shared" si="11"/>
        <v>56.801369579237139</v>
      </c>
    </row>
    <row r="59" spans="1:9" x14ac:dyDescent="0.35">
      <c r="A59">
        <v>20</v>
      </c>
      <c r="B59">
        <v>125.1</v>
      </c>
      <c r="C59">
        <f>A65*(1-EXP(-B65)*A59)</f>
        <v>-2267.0288326313644</v>
      </c>
      <c r="D59">
        <f t="shared" si="8"/>
        <v>2392.1288326313643</v>
      </c>
      <c r="E59">
        <f t="shared" si="9"/>
        <v>5722280.351906294</v>
      </c>
      <c r="F59">
        <f>(C65*A59*A65^2)/(1+C65*A59*A65)</f>
        <v>132.10187828700225</v>
      </c>
      <c r="G59">
        <f t="shared" si="10"/>
        <v>-7.0018782870022562</v>
      </c>
      <c r="H59">
        <f t="shared" si="11"/>
        <v>49.026299545993652</v>
      </c>
    </row>
    <row r="60" spans="1:9" x14ac:dyDescent="0.35">
      <c r="A60">
        <v>25</v>
      </c>
      <c r="B60">
        <v>125.7</v>
      </c>
      <c r="C60">
        <f>A65*(1-EXP(-B65)*A60)</f>
        <v>-2866.9360407892054</v>
      </c>
      <c r="D60">
        <f t="shared" si="8"/>
        <v>2992.6360407892053</v>
      </c>
      <c r="E60">
        <f t="shared" si="9"/>
        <v>8955870.4726304896</v>
      </c>
      <c r="F60">
        <f>(C65*A60*A65^2)/(1+C65*A60*A65)</f>
        <v>132.20120300751879</v>
      </c>
      <c r="G60">
        <f t="shared" si="10"/>
        <v>-6.5012030075187823</v>
      </c>
      <c r="H60">
        <f t="shared" si="11"/>
        <v>42.265640544971262</v>
      </c>
    </row>
    <row r="61" spans="1:9" x14ac:dyDescent="0.35">
      <c r="A61">
        <v>30</v>
      </c>
      <c r="B61">
        <v>132.6</v>
      </c>
      <c r="C61">
        <f>A65*(1-EXP(-B65)*A61)</f>
        <v>-3466.8432489470465</v>
      </c>
      <c r="D61">
        <f t="shared" si="8"/>
        <v>3599.4432489470464</v>
      </c>
      <c r="E61">
        <f t="shared" si="9"/>
        <v>12955991.70239047</v>
      </c>
      <c r="F61">
        <f>(C65*A61*A65^2)/(1+C65*A61*A65)</f>
        <v>132.26750250752258</v>
      </c>
      <c r="G61">
        <f t="shared" si="10"/>
        <v>0.33249749247741534</v>
      </c>
      <c r="H61">
        <f t="shared" si="11"/>
        <v>0.11055458250376887</v>
      </c>
    </row>
    <row r="63" spans="1:9" x14ac:dyDescent="0.35">
      <c r="A63" t="s">
        <v>6</v>
      </c>
      <c r="E63" t="s">
        <v>21</v>
      </c>
      <c r="F63" t="s">
        <v>13</v>
      </c>
      <c r="H63" t="s">
        <v>22</v>
      </c>
      <c r="I63" t="s">
        <v>19</v>
      </c>
    </row>
    <row r="64" spans="1:9" x14ac:dyDescent="0.35">
      <c r="A64" t="s">
        <v>7</v>
      </c>
      <c r="B64" t="s">
        <v>8</v>
      </c>
      <c r="C64" t="s">
        <v>9</v>
      </c>
      <c r="E64">
        <f>SUM(E56:E61)</f>
        <v>32580442.728609294</v>
      </c>
      <c r="F64">
        <v>1444.8910989999999</v>
      </c>
      <c r="H64">
        <f>SUM(H56:H61)</f>
        <v>1485.4903293952814</v>
      </c>
      <c r="I64">
        <v>197.14450009999999</v>
      </c>
    </row>
    <row r="65" spans="1:3" x14ac:dyDescent="0.35">
      <c r="A65">
        <v>132.6</v>
      </c>
      <c r="B65">
        <v>0.1</v>
      </c>
      <c r="C65">
        <v>0.1</v>
      </c>
    </row>
    <row r="67" spans="1:3" x14ac:dyDescent="0.35">
      <c r="A67" t="s">
        <v>12</v>
      </c>
    </row>
    <row r="68" spans="1:3" x14ac:dyDescent="0.35">
      <c r="A68" t="s">
        <v>8</v>
      </c>
      <c r="B68" t="s">
        <v>9</v>
      </c>
    </row>
    <row r="69" spans="1:3" x14ac:dyDescent="0.35">
      <c r="A69" s="2">
        <v>6.0475910166667397</v>
      </c>
      <c r="B69" s="4">
        <v>5.3642324245840502E-3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CAC7-8511-4C1D-9518-F9BB502AB8BA}">
  <dimension ref="A1:K277"/>
  <sheetViews>
    <sheetView topLeftCell="A266" zoomScale="53" zoomScaleNormal="72" workbookViewId="0">
      <selection activeCell="J283" sqref="J283"/>
    </sheetView>
  </sheetViews>
  <sheetFormatPr defaultRowHeight="14.5" x14ac:dyDescent="0.35"/>
  <cols>
    <col min="1" max="1" width="16" customWidth="1"/>
    <col min="2" max="2" width="40.54296875" customWidth="1"/>
    <col min="3" max="3" width="24.81640625" customWidth="1"/>
    <col min="4" max="4" width="17.1796875" customWidth="1"/>
    <col min="5" max="5" width="22.81640625" customWidth="1"/>
    <col min="6" max="6" width="20.54296875" customWidth="1"/>
    <col min="7" max="7" width="12.26953125" customWidth="1"/>
    <col min="8" max="8" width="15.26953125" customWidth="1"/>
    <col min="10" max="10" width="15.1796875" customWidth="1"/>
    <col min="11" max="11" width="12.54296875" bestFit="1" customWidth="1"/>
  </cols>
  <sheetData>
    <row r="1" spans="1:11" x14ac:dyDescent="0.35">
      <c r="D1" s="5" t="s">
        <v>34</v>
      </c>
    </row>
    <row r="2" spans="1:11" x14ac:dyDescent="0.35">
      <c r="A2" t="s">
        <v>45</v>
      </c>
      <c r="B2" t="s">
        <v>46</v>
      </c>
      <c r="C2" t="s">
        <v>14</v>
      </c>
      <c r="D2" t="s">
        <v>2</v>
      </c>
      <c r="E2" t="s">
        <v>3</v>
      </c>
      <c r="F2" t="s">
        <v>15</v>
      </c>
      <c r="G2" t="s">
        <v>24</v>
      </c>
      <c r="H2" t="s">
        <v>25</v>
      </c>
      <c r="J2" t="s">
        <v>7</v>
      </c>
      <c r="K2">
        <v>146.19999999999999</v>
      </c>
    </row>
    <row r="3" spans="1:11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 t="s">
        <v>8</v>
      </c>
      <c r="K3">
        <v>0.36902977355663324</v>
      </c>
    </row>
    <row r="4" spans="1:11" x14ac:dyDescent="0.35">
      <c r="A4">
        <v>5</v>
      </c>
      <c r="B4">
        <v>127</v>
      </c>
      <c r="C4">
        <f>K2*(1-EXP(-K3*A4))</f>
        <v>123.1001371672827</v>
      </c>
      <c r="D4">
        <f>B4-C4</f>
        <v>3.8998628327173037</v>
      </c>
      <c r="E4">
        <f>D4^2</f>
        <v>15.208930114009833</v>
      </c>
      <c r="F4">
        <f>(K4*A4*K2^2)/(1+K4*A4*K2)</f>
        <v>125.36927279024013</v>
      </c>
      <c r="G4">
        <f>B4-F4</f>
        <v>1.6307272097598684</v>
      </c>
      <c r="H4">
        <f>G4^2</f>
        <v>2.6592712326512058</v>
      </c>
      <c r="J4" t="s">
        <v>9</v>
      </c>
      <c r="K4">
        <v>8.2332119958994209E-3</v>
      </c>
    </row>
    <row r="5" spans="1:11" x14ac:dyDescent="0.35">
      <c r="A5">
        <v>10</v>
      </c>
      <c r="B5">
        <v>133.19999999999999</v>
      </c>
      <c r="C5">
        <f>K2*(1-EXP(-K3*A5))</f>
        <v>142.5501801443888</v>
      </c>
      <c r="D5">
        <f>B5-C5</f>
        <v>-9.3501801443888155</v>
      </c>
      <c r="E5">
        <f t="shared" ref="E5:E9" si="0">D5^2</f>
        <v>87.425868732522858</v>
      </c>
      <c r="F5">
        <f>(K4*A5*K2^2)/(1+K4*A5*K2)</f>
        <v>134.98572569430857</v>
      </c>
      <c r="G5">
        <f t="shared" ref="G5:G9" si="1">B5-F5</f>
        <v>-1.7857256943085815</v>
      </c>
      <c r="H5">
        <f t="shared" ref="H5:H9" si="2">G5^2</f>
        <v>3.1888162553138657</v>
      </c>
      <c r="J5" t="s">
        <v>10</v>
      </c>
      <c r="K5">
        <f>SUM(E3:E9)</f>
        <v>280.37576294447103</v>
      </c>
    </row>
    <row r="6" spans="1:11" x14ac:dyDescent="0.35">
      <c r="A6">
        <v>15</v>
      </c>
      <c r="B6">
        <v>134.6</v>
      </c>
      <c r="C6">
        <f>K2*(1-EXP(-K3*A6))</f>
        <v>145.62332190130815</v>
      </c>
      <c r="D6">
        <f t="shared" ref="D6:D9" si="3">B6-C6</f>
        <v>-11.023321901308151</v>
      </c>
      <c r="E6">
        <f t="shared" si="0"/>
        <v>121.51362573985995</v>
      </c>
      <c r="F6">
        <f>(K4*A6*K2^2)/(1+K4*A6*K2)</f>
        <v>138.52764781355953</v>
      </c>
      <c r="G6">
        <f t="shared" si="1"/>
        <v>-3.9276478135595312</v>
      </c>
      <c r="H6">
        <f t="shared" si="2"/>
        <v>15.426417347358965</v>
      </c>
      <c r="J6" t="s">
        <v>11</v>
      </c>
      <c r="K6">
        <f>SUM(H3:H9)</f>
        <v>43.969082339603617</v>
      </c>
    </row>
    <row r="7" spans="1:11" x14ac:dyDescent="0.35">
      <c r="A7">
        <v>20</v>
      </c>
      <c r="B7">
        <v>139</v>
      </c>
      <c r="C7">
        <f>K2*(1-EXP(-K3*A7))</f>
        <v>146.10888382367705</v>
      </c>
      <c r="D7">
        <f t="shared" si="3"/>
        <v>-7.1088838236770471</v>
      </c>
      <c r="E7">
        <f t="shared" si="0"/>
        <v>50.536229218537194</v>
      </c>
      <c r="F7">
        <f>(K4*A7*K2^2)/(1+K4*A7*K2)</f>
        <v>140.36923850083875</v>
      </c>
      <c r="G7">
        <f t="shared" si="1"/>
        <v>-1.3692385008387475</v>
      </c>
      <c r="H7">
        <f t="shared" si="2"/>
        <v>1.8748140721791409</v>
      </c>
      <c r="J7" t="s">
        <v>28</v>
      </c>
      <c r="K7" cm="1">
        <f t="array" ref="K7">SUM((Table4[Concentration EFB 10mm (Ct1)]-AVERAGE(Table4[Concentration EFB 10mm (Ct1)]))^2)</f>
        <v>16412.788571428573</v>
      </c>
    </row>
    <row r="8" spans="1:11" x14ac:dyDescent="0.35">
      <c r="A8">
        <v>25</v>
      </c>
      <c r="B8">
        <v>143.80000000000001</v>
      </c>
      <c r="C8">
        <f>K2*(1-EXP(-K3*A8))</f>
        <v>146.18560348033583</v>
      </c>
      <c r="D8">
        <f t="shared" si="3"/>
        <v>-2.385603480335817</v>
      </c>
      <c r="E8">
        <f t="shared" si="0"/>
        <v>5.6911039653903632</v>
      </c>
      <c r="F8">
        <f>(K4*A8*K2^2)/(1+K4*A8*K2)</f>
        <v>141.49788476444652</v>
      </c>
      <c r="G8">
        <f t="shared" si="1"/>
        <v>2.3021152355534866</v>
      </c>
      <c r="H8">
        <f t="shared" si="2"/>
        <v>5.2997345577674855</v>
      </c>
      <c r="J8" t="s">
        <v>29</v>
      </c>
      <c r="K8" cm="1">
        <f t="array" ref="K8">SUM((Table4[Concentration EFB 10mm (Ct1)]-AVERAGE(Table4[Concentration EFB 10mm (Ct1)]))^2)</f>
        <v>16412.788571428573</v>
      </c>
    </row>
    <row r="9" spans="1:11" x14ac:dyDescent="0.35">
      <c r="A9">
        <v>30</v>
      </c>
      <c r="B9">
        <v>146.19999999999999</v>
      </c>
      <c r="C9">
        <f>K2*(1-EXP(-K3*A9))</f>
        <v>146.19772532401154</v>
      </c>
      <c r="D9">
        <f t="shared" si="3"/>
        <v>2.2746759884455514E-3</v>
      </c>
      <c r="E9">
        <f t="shared" si="0"/>
        <v>5.1741508524107461E-6</v>
      </c>
      <c r="F9">
        <f>(K4*A9*K2^2)/(1+K4*A9*K2)</f>
        <v>142.26045321460285</v>
      </c>
      <c r="G9">
        <f t="shared" si="1"/>
        <v>3.9395467853971411</v>
      </c>
      <c r="H9">
        <f t="shared" si="2"/>
        <v>15.520028874332947</v>
      </c>
      <c r="J9" t="s">
        <v>30</v>
      </c>
      <c r="K9">
        <f>1-(K5/K7)</f>
        <v>0.98291723787677676</v>
      </c>
    </row>
    <row r="10" spans="1:11" x14ac:dyDescent="0.35">
      <c r="J10" t="s">
        <v>31</v>
      </c>
      <c r="K10">
        <f>1-(K6/K8)</f>
        <v>0.99732104741688166</v>
      </c>
    </row>
    <row r="27" spans="1:11" x14ac:dyDescent="0.35">
      <c r="D27" s="6" t="s">
        <v>27</v>
      </c>
    </row>
    <row r="28" spans="1:11" x14ac:dyDescent="0.35">
      <c r="A28" t="s">
        <v>45</v>
      </c>
      <c r="B28" t="s">
        <v>47</v>
      </c>
      <c r="C28" t="s">
        <v>14</v>
      </c>
      <c r="D28" t="s">
        <v>2</v>
      </c>
      <c r="E28" t="s">
        <v>3</v>
      </c>
      <c r="F28" t="s">
        <v>33</v>
      </c>
      <c r="G28" t="s">
        <v>4</v>
      </c>
      <c r="H28" t="s">
        <v>5</v>
      </c>
      <c r="J28" t="s">
        <v>7</v>
      </c>
      <c r="K28">
        <v>7.4</v>
      </c>
    </row>
    <row r="29" spans="1:11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">
        <v>8</v>
      </c>
      <c r="K29">
        <v>7.3999999977094975</v>
      </c>
    </row>
    <row r="30" spans="1:11" x14ac:dyDescent="0.35">
      <c r="A30">
        <v>5</v>
      </c>
      <c r="B30">
        <v>7</v>
      </c>
      <c r="C30" s="7">
        <f>K28*(1-EXP(-K29*B30))</f>
        <v>7.4</v>
      </c>
      <c r="D30">
        <f>B30-C30</f>
        <v>-0.40000000000000036</v>
      </c>
      <c r="E30">
        <f>D30^2</f>
        <v>0.16000000000000028</v>
      </c>
      <c r="F30">
        <f>(K30*B30*K28^2)/(1+K30*B30*K28)</f>
        <v>7.1914893622344982</v>
      </c>
      <c r="G30">
        <f>B30-F30</f>
        <v>-0.19148936223449819</v>
      </c>
      <c r="H30">
        <f>G30^2</f>
        <v>3.6668175848974867E-2</v>
      </c>
      <c r="J30" t="s">
        <v>9</v>
      </c>
      <c r="K30">
        <v>0.66582617777953612</v>
      </c>
    </row>
    <row r="31" spans="1:11" x14ac:dyDescent="0.35">
      <c r="A31">
        <v>10</v>
      </c>
      <c r="B31">
        <v>7.1</v>
      </c>
      <c r="C31" s="7">
        <f>K28*(1-EXP(-K29*B31))</f>
        <v>7.4</v>
      </c>
      <c r="D31">
        <f t="shared" ref="D31:D35" si="4">B31-C31</f>
        <v>-0.30000000000000071</v>
      </c>
      <c r="E31">
        <f t="shared" ref="E31:E35" si="5">D31^2</f>
        <v>9.0000000000000427E-2</v>
      </c>
      <c r="F31">
        <f>(K30*B31*K28^2)/(1+K30*B31*K28)</f>
        <v>7.1943445151906582</v>
      </c>
      <c r="G31">
        <f t="shared" ref="G31:G35" si="6">B31-F31</f>
        <v>-9.4344515190658562E-2</v>
      </c>
      <c r="H31">
        <f t="shared" ref="H31:H35" si="7">G31^2</f>
        <v>8.9008875465604043E-3</v>
      </c>
      <c r="J31" t="s">
        <v>10</v>
      </c>
      <c r="K31">
        <f>SUM(E29:E35)</f>
        <v>0.38000000000000123</v>
      </c>
    </row>
    <row r="32" spans="1:11" x14ac:dyDescent="0.35">
      <c r="A32">
        <v>15</v>
      </c>
      <c r="B32">
        <v>7.1</v>
      </c>
      <c r="C32">
        <f>K28*(1-EXP(-K29*B32))</f>
        <v>7.4</v>
      </c>
      <c r="D32">
        <f t="shared" si="4"/>
        <v>-0.30000000000000071</v>
      </c>
      <c r="E32">
        <f t="shared" si="5"/>
        <v>9.0000000000000427E-2</v>
      </c>
      <c r="F32">
        <f>(K30*B32*K28^2)/(1+K30*B32*K28)</f>
        <v>7.1943445151906582</v>
      </c>
      <c r="G32">
        <f t="shared" si="6"/>
        <v>-9.4344515190658562E-2</v>
      </c>
      <c r="H32">
        <f t="shared" si="7"/>
        <v>8.9008875465604043E-3</v>
      </c>
      <c r="J32" t="s">
        <v>11</v>
      </c>
      <c r="K32">
        <f>SUM(H29:H35)</f>
        <v>0.13252285873640463</v>
      </c>
    </row>
    <row r="33" spans="1:11" x14ac:dyDescent="0.35">
      <c r="A33">
        <v>20</v>
      </c>
      <c r="B33">
        <v>7.2</v>
      </c>
      <c r="C33">
        <f>K28*(1-EXP(-K29*B33))</f>
        <v>7.4</v>
      </c>
      <c r="D33">
        <f t="shared" si="4"/>
        <v>-0.20000000000000018</v>
      </c>
      <c r="E33">
        <f t="shared" si="5"/>
        <v>4.000000000000007E-2</v>
      </c>
      <c r="F33">
        <f>(K30*B33*K28^2)/(1+K30*B33*K28)</f>
        <v>7.1971225326900825</v>
      </c>
      <c r="G33">
        <f t="shared" si="6"/>
        <v>2.8774673099176695E-3</v>
      </c>
      <c r="H33">
        <f t="shared" si="7"/>
        <v>8.2798181196448293E-6</v>
      </c>
      <c r="J33" t="s">
        <v>28</v>
      </c>
      <c r="K33" cm="1">
        <f t="array" ref="K33">SUM((B29:B35-AVERAGE(B29:B35))^2)</f>
        <v>44.574285714285715</v>
      </c>
    </row>
    <row r="34" spans="1:11" x14ac:dyDescent="0.35">
      <c r="A34">
        <v>25</v>
      </c>
      <c r="B34">
        <v>7.4</v>
      </c>
      <c r="C34">
        <f>K28*(1-EXP(-K29*B34))</f>
        <v>7.4</v>
      </c>
      <c r="D34">
        <f t="shared" si="4"/>
        <v>0</v>
      </c>
      <c r="E34">
        <f t="shared" si="5"/>
        <v>0</v>
      </c>
      <c r="F34">
        <f>(K30*B34*K28^2)/(1+K30*B34*K28)</f>
        <v>7.2024593358619686</v>
      </c>
      <c r="G34">
        <f t="shared" si="6"/>
        <v>0.19754066413803173</v>
      </c>
      <c r="H34">
        <f t="shared" si="7"/>
        <v>3.9022313988094658E-2</v>
      </c>
      <c r="J34" t="s">
        <v>29</v>
      </c>
      <c r="K34" cm="1">
        <f t="array" ref="K34">SUM((B29:B35-AVERAGE(B29:B35))^2)</f>
        <v>44.574285714285715</v>
      </c>
    </row>
    <row r="35" spans="1:11" x14ac:dyDescent="0.35">
      <c r="A35">
        <v>30</v>
      </c>
      <c r="B35">
        <v>7.4</v>
      </c>
      <c r="C35">
        <f>K28*(1-EXP(-K29*B35))</f>
        <v>7.4</v>
      </c>
      <c r="D35">
        <f t="shared" si="4"/>
        <v>0</v>
      </c>
      <c r="E35">
        <f t="shared" si="5"/>
        <v>0</v>
      </c>
      <c r="F35">
        <f>(K30*B35*K28^2)/(1+K30*B35*K28)</f>
        <v>7.2024593358619686</v>
      </c>
      <c r="G35">
        <f t="shared" si="6"/>
        <v>0.19754066413803173</v>
      </c>
      <c r="H35">
        <f t="shared" si="7"/>
        <v>3.9022313988094658E-2</v>
      </c>
      <c r="J35" t="s">
        <v>30</v>
      </c>
      <c r="K35">
        <f>1-(K31/K33)</f>
        <v>0.99147490545477857</v>
      </c>
    </row>
    <row r="36" spans="1:11" x14ac:dyDescent="0.35">
      <c r="J36" t="s">
        <v>31</v>
      </c>
      <c r="K36">
        <f>1-(K32/K34)</f>
        <v>0.99702692131544501</v>
      </c>
    </row>
    <row r="54" spans="1:11" x14ac:dyDescent="0.35">
      <c r="D54" s="6" t="s">
        <v>37</v>
      </c>
    </row>
    <row r="55" spans="1:11" x14ac:dyDescent="0.35">
      <c r="A55" t="s">
        <v>45</v>
      </c>
      <c r="B55" t="s">
        <v>47</v>
      </c>
      <c r="C55" t="s">
        <v>14</v>
      </c>
      <c r="D55" t="s">
        <v>2</v>
      </c>
      <c r="E55" t="s">
        <v>3</v>
      </c>
      <c r="F55" t="s">
        <v>15</v>
      </c>
      <c r="G55" t="s">
        <v>4</v>
      </c>
      <c r="H55" t="s">
        <v>5</v>
      </c>
      <c r="J55" t="s">
        <v>7</v>
      </c>
      <c r="K55">
        <v>97.3</v>
      </c>
    </row>
    <row r="56" spans="1:11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J56" t="s">
        <v>8</v>
      </c>
      <c r="K56">
        <v>6.2060964981267146</v>
      </c>
    </row>
    <row r="57" spans="1:11" x14ac:dyDescent="0.35">
      <c r="A57">
        <v>5</v>
      </c>
      <c r="B57">
        <v>69.599999999999994</v>
      </c>
      <c r="C57">
        <f>K55*(1-EXP(-K56*A57))</f>
        <v>97.299999999996743</v>
      </c>
      <c r="D57">
        <f>B57-C57</f>
        <v>-27.699999999996749</v>
      </c>
      <c r="E57">
        <f>D57^2</f>
        <v>767.28999999981988</v>
      </c>
      <c r="F57">
        <f>(K57*A57*K55^2)/(1+K57*A57*K55)</f>
        <v>75.685978216026797</v>
      </c>
      <c r="G57">
        <f>B57-F57</f>
        <v>-6.0859782160268026</v>
      </c>
      <c r="H57">
        <f>G57^2</f>
        <v>37.039130845952783</v>
      </c>
      <c r="J57" t="s">
        <v>9</v>
      </c>
      <c r="K57">
        <v>7.1977539903791306E-3</v>
      </c>
    </row>
    <row r="58" spans="1:11" x14ac:dyDescent="0.35">
      <c r="A58">
        <v>10</v>
      </c>
      <c r="B58">
        <v>89</v>
      </c>
      <c r="C58">
        <f>K55*(1-EXP(-K56*A58))</f>
        <v>97.3</v>
      </c>
      <c r="D58">
        <f t="shared" ref="D58:D62" si="8">B58-C58</f>
        <v>-8.2999999999999972</v>
      </c>
      <c r="E58">
        <f t="shared" ref="E58:E62" si="9">D58^2</f>
        <v>68.889999999999958</v>
      </c>
      <c r="F58">
        <f>(K57*A58*K55^2)/(1+K57*A58*K55)</f>
        <v>85.14268909382767</v>
      </c>
      <c r="G58">
        <f t="shared" ref="G58:G62" si="10">B58-F58</f>
        <v>3.8573109061723301</v>
      </c>
      <c r="H58">
        <f t="shared" ref="H58:H62" si="11">G58^2</f>
        <v>14.878847426876002</v>
      </c>
      <c r="J58" t="s">
        <v>10</v>
      </c>
      <c r="K58">
        <f>SUM(E56:E62)</f>
        <v>913.53999999981977</v>
      </c>
    </row>
    <row r="59" spans="1:11" x14ac:dyDescent="0.35">
      <c r="A59">
        <v>15</v>
      </c>
      <c r="B59">
        <v>90.7</v>
      </c>
      <c r="C59">
        <f>K55*(1-EXP(-K56*A59))</f>
        <v>97.3</v>
      </c>
      <c r="D59">
        <f t="shared" si="8"/>
        <v>-6.5999999999999943</v>
      </c>
      <c r="E59">
        <f t="shared" si="9"/>
        <v>43.559999999999924</v>
      </c>
      <c r="F59">
        <f>(K57*A59*K55^2)/(1+K57*A59*K55)</f>
        <v>88.84289711733048</v>
      </c>
      <c r="G59">
        <f t="shared" si="10"/>
        <v>1.8571028826695226</v>
      </c>
      <c r="H59">
        <f t="shared" si="11"/>
        <v>3.4488311168194508</v>
      </c>
      <c r="J59" t="s">
        <v>11</v>
      </c>
      <c r="K59">
        <f>SUM(H56:H62)</f>
        <v>98.967364551180367</v>
      </c>
    </row>
    <row r="60" spans="1:11" x14ac:dyDescent="0.35">
      <c r="A60">
        <v>20</v>
      </c>
      <c r="B60">
        <v>91.5</v>
      </c>
      <c r="C60">
        <f>K55*(1-EXP(-K56*A60))</f>
        <v>97.3</v>
      </c>
      <c r="D60">
        <f t="shared" si="8"/>
        <v>-5.7999999999999972</v>
      </c>
      <c r="E60">
        <f t="shared" si="9"/>
        <v>33.639999999999965</v>
      </c>
      <c r="F60">
        <f>(K57*A60*K55^2)/(1+K57*A60*K55)</f>
        <v>90.816285267193052</v>
      </c>
      <c r="G60">
        <f t="shared" si="10"/>
        <v>0.68371473280694772</v>
      </c>
      <c r="H60">
        <f t="shared" si="11"/>
        <v>0.46746583585727591</v>
      </c>
      <c r="J60" t="s">
        <v>28</v>
      </c>
      <c r="K60" cm="1">
        <f t="array" ref="K60">SUM((B56:B62-AVERAGE(B56:B62))^2)</f>
        <v>7331.5142857142855</v>
      </c>
    </row>
    <row r="61" spans="1:11" x14ac:dyDescent="0.35">
      <c r="A61">
        <v>25</v>
      </c>
      <c r="B61">
        <v>96.9</v>
      </c>
      <c r="C61">
        <f>K55*(1-EXP(-K56*A61))</f>
        <v>97.3</v>
      </c>
      <c r="D61">
        <f t="shared" si="8"/>
        <v>-0.39999999999999147</v>
      </c>
      <c r="E61">
        <f t="shared" si="9"/>
        <v>0.15999999999999318</v>
      </c>
      <c r="F61">
        <f>(K57*A61*K55^2)/(1+K57*A61*K55)</f>
        <v>92.042966329561452</v>
      </c>
      <c r="G61">
        <f t="shared" si="10"/>
        <v>4.8570336704385539</v>
      </c>
      <c r="H61">
        <f t="shared" si="11"/>
        <v>23.59077607577381</v>
      </c>
      <c r="J61" t="s">
        <v>29</v>
      </c>
      <c r="K61" cm="1">
        <f t="array" ref="K61">SUM((B56:B62-AVERAGE(B56:B62))^2)</f>
        <v>7331.5142857142855</v>
      </c>
    </row>
    <row r="62" spans="1:11" x14ac:dyDescent="0.35">
      <c r="A62">
        <v>30</v>
      </c>
      <c r="B62">
        <v>97.3</v>
      </c>
      <c r="C62">
        <f>K55*(1-EXP(-K56*A62))</f>
        <v>97.3</v>
      </c>
      <c r="D62">
        <f t="shared" si="8"/>
        <v>0</v>
      </c>
      <c r="E62">
        <f t="shared" si="9"/>
        <v>0</v>
      </c>
      <c r="F62">
        <f>(K57*A62*K55^2)/(1+K57*A62*K55)</f>
        <v>92.879331130937189</v>
      </c>
      <c r="G62">
        <f t="shared" si="10"/>
        <v>4.4206688690628084</v>
      </c>
      <c r="H62">
        <f t="shared" si="11"/>
        <v>19.542313249901049</v>
      </c>
      <c r="J62" t="s">
        <v>30</v>
      </c>
      <c r="K62">
        <f>1-(K58/K60)</f>
        <v>0.87539545523632345</v>
      </c>
    </row>
    <row r="63" spans="1:11" x14ac:dyDescent="0.35">
      <c r="J63" t="s">
        <v>31</v>
      </c>
      <c r="K63">
        <f>1-(K59/K61)</f>
        <v>0.98650110186049533</v>
      </c>
    </row>
    <row r="81" spans="1:11" x14ac:dyDescent="0.35">
      <c r="D81" s="6" t="s">
        <v>38</v>
      </c>
    </row>
    <row r="82" spans="1:11" x14ac:dyDescent="0.35">
      <c r="A82" t="s">
        <v>45</v>
      </c>
      <c r="B82" t="s">
        <v>47</v>
      </c>
      <c r="C82" t="s">
        <v>14</v>
      </c>
      <c r="D82" t="s">
        <v>2</v>
      </c>
      <c r="E82" t="s">
        <v>3</v>
      </c>
      <c r="F82" t="s">
        <v>15</v>
      </c>
      <c r="G82" t="s">
        <v>4</v>
      </c>
      <c r="H82" t="s">
        <v>5</v>
      </c>
      <c r="J82" t="s">
        <v>7</v>
      </c>
      <c r="K82">
        <v>5.19</v>
      </c>
    </row>
    <row r="83" spans="1:11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J83" t="s">
        <v>8</v>
      </c>
      <c r="K83">
        <v>5.6388017180832701</v>
      </c>
    </row>
    <row r="84" spans="1:11" x14ac:dyDescent="0.35">
      <c r="A84">
        <v>5</v>
      </c>
      <c r="B84">
        <v>2.09</v>
      </c>
      <c r="C84">
        <f>K82*(1-EXP(-K83*A84))</f>
        <v>5.1899999999970445</v>
      </c>
      <c r="D84">
        <f>B84-C84</f>
        <v>-3.0999999999970447</v>
      </c>
      <c r="E84">
        <f>D84^2</f>
        <v>9.6099999999816763</v>
      </c>
      <c r="F84">
        <f>(K84*A84*K82^2)/(1+K84*A84*K82)</f>
        <v>3.1274555146796348</v>
      </c>
      <c r="G84">
        <f>B84-F84</f>
        <v>-1.0374555146796349</v>
      </c>
      <c r="H84">
        <f>G84^2</f>
        <v>1.0763139449391863</v>
      </c>
      <c r="J84" t="s">
        <v>9</v>
      </c>
      <c r="K84" s="8">
        <v>5.8431960038243247E-2</v>
      </c>
    </row>
    <row r="85" spans="1:11" x14ac:dyDescent="0.35">
      <c r="A85">
        <v>10</v>
      </c>
      <c r="B85">
        <v>4.1900000000000004</v>
      </c>
      <c r="C85">
        <f>K82*(1-EXP(-K83*A85))</f>
        <v>5.19</v>
      </c>
      <c r="D85">
        <f t="shared" ref="D85:D89" si="12">B85-C85</f>
        <v>-1</v>
      </c>
      <c r="E85">
        <f t="shared" ref="E85:E89" si="13">D85^2</f>
        <v>1</v>
      </c>
      <c r="F85">
        <f>(K84*A85*K82^2)/(1+K84*A85*K82)</f>
        <v>3.9029951149218731</v>
      </c>
      <c r="G85">
        <f t="shared" ref="G85:G89" si="14">B85-F85</f>
        <v>0.28700488507812727</v>
      </c>
      <c r="H85">
        <f t="shared" ref="H85:H89" si="15">G85^2</f>
        <v>8.2371804058709044E-2</v>
      </c>
      <c r="J85" t="s">
        <v>10</v>
      </c>
      <c r="K85">
        <f>SUM(E83:E89)</f>
        <v>11.269999999981676</v>
      </c>
    </row>
    <row r="86" spans="1:11" x14ac:dyDescent="0.35">
      <c r="A86">
        <v>15</v>
      </c>
      <c r="B86">
        <v>4.3899999999999997</v>
      </c>
      <c r="C86">
        <f>K82*(1-EXP(-K83*A86))</f>
        <v>5.19</v>
      </c>
      <c r="D86">
        <f t="shared" si="12"/>
        <v>-0.80000000000000071</v>
      </c>
      <c r="E86">
        <f t="shared" si="13"/>
        <v>0.64000000000000112</v>
      </c>
      <c r="F86">
        <f>(K84*A86*K82^2)/(1+K84*A86*K82)</f>
        <v>4.2546842206678148</v>
      </c>
      <c r="G86">
        <f t="shared" si="14"/>
        <v>0.13531577933218486</v>
      </c>
      <c r="H86">
        <f t="shared" si="15"/>
        <v>1.8310360136276547E-2</v>
      </c>
      <c r="J86" t="s">
        <v>11</v>
      </c>
      <c r="K86">
        <f>SUM(H83:H89)</f>
        <v>2.0986657313955717</v>
      </c>
    </row>
    <row r="87" spans="1:11" x14ac:dyDescent="0.35">
      <c r="A87">
        <v>20</v>
      </c>
      <c r="B87">
        <v>5.09</v>
      </c>
      <c r="C87">
        <f>K82*(1-EXP(-K83*A87))</f>
        <v>5.19</v>
      </c>
      <c r="D87">
        <f t="shared" si="12"/>
        <v>-0.10000000000000053</v>
      </c>
      <c r="E87">
        <f t="shared" si="13"/>
        <v>1.0000000000000106E-2</v>
      </c>
      <c r="F87">
        <f>(K84*A87*K82^2)/(1+K84*A87*K82)</f>
        <v>4.4554174703564806</v>
      </c>
      <c r="G87">
        <f t="shared" si="14"/>
        <v>0.63458252964351924</v>
      </c>
      <c r="H87">
        <f t="shared" si="15"/>
        <v>0.40269498692876798</v>
      </c>
      <c r="J87" t="s">
        <v>28</v>
      </c>
      <c r="K87" cm="1">
        <f t="array" ref="K87">SUM((B83:B89-AVERAGE(B83:B89))^2)</f>
        <v>23.079800000000002</v>
      </c>
    </row>
    <row r="88" spans="1:11" x14ac:dyDescent="0.35">
      <c r="A88">
        <v>25</v>
      </c>
      <c r="B88">
        <v>5.09</v>
      </c>
      <c r="C88">
        <f>K82*(1-EXP(-K83*A88))</f>
        <v>5.19</v>
      </c>
      <c r="D88">
        <f t="shared" si="12"/>
        <v>-0.10000000000000053</v>
      </c>
      <c r="E88">
        <f t="shared" si="13"/>
        <v>1.0000000000000106E-2</v>
      </c>
      <c r="F88">
        <f>(K84*A88*K82^2)/(1+K84*A88*K82)</f>
        <v>4.5852139268236405</v>
      </c>
      <c r="G88">
        <f t="shared" si="14"/>
        <v>0.50478607317635937</v>
      </c>
      <c r="H88">
        <f t="shared" si="15"/>
        <v>0.25480897967280886</v>
      </c>
      <c r="J88" t="s">
        <v>29</v>
      </c>
      <c r="K88" cm="1">
        <f t="array" ref="K88">SUM((B83:B89-AVERAGE(B83:B89))^2)</f>
        <v>23.079800000000002</v>
      </c>
    </row>
    <row r="89" spans="1:11" x14ac:dyDescent="0.35">
      <c r="A89">
        <v>30</v>
      </c>
      <c r="B89">
        <v>5.19</v>
      </c>
      <c r="C89">
        <f>K82*(1-EXP(-K83*A89))</f>
        <v>5.19</v>
      </c>
      <c r="D89">
        <f t="shared" si="12"/>
        <v>0</v>
      </c>
      <c r="E89">
        <f t="shared" si="13"/>
        <v>0</v>
      </c>
      <c r="F89">
        <f>(K84*A89*K82^2)/(1+K84*A89*K82)</f>
        <v>4.6760295186882592</v>
      </c>
      <c r="G89">
        <f t="shared" si="14"/>
        <v>0.51397048131174117</v>
      </c>
      <c r="H89">
        <f t="shared" si="15"/>
        <v>0.26416565565982286</v>
      </c>
      <c r="J89" t="s">
        <v>30</v>
      </c>
      <c r="K89">
        <f>1-(K85/K87)</f>
        <v>0.51169420878943161</v>
      </c>
    </row>
    <row r="90" spans="1:11" x14ac:dyDescent="0.35">
      <c r="J90" t="s">
        <v>31</v>
      </c>
      <c r="K90">
        <f>1-(K86/K88)</f>
        <v>0.90906915435161606</v>
      </c>
    </row>
    <row r="108" spans="1:11" x14ac:dyDescent="0.35">
      <c r="D108" s="6" t="s">
        <v>39</v>
      </c>
    </row>
    <row r="109" spans="1:11" x14ac:dyDescent="0.35">
      <c r="A109" t="s">
        <v>45</v>
      </c>
      <c r="B109" t="s">
        <v>47</v>
      </c>
      <c r="C109" t="s">
        <v>14</v>
      </c>
      <c r="D109" t="s">
        <v>2</v>
      </c>
      <c r="E109" t="s">
        <v>3</v>
      </c>
      <c r="F109" t="s">
        <v>15</v>
      </c>
      <c r="G109" t="s">
        <v>4</v>
      </c>
      <c r="H109" t="s">
        <v>5</v>
      </c>
      <c r="J109" t="s">
        <v>7</v>
      </c>
      <c r="K109">
        <v>2.6</v>
      </c>
    </row>
    <row r="110" spans="1:11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J110" t="s">
        <v>8</v>
      </c>
      <c r="K110">
        <v>4.9124858939194107</v>
      </c>
    </row>
    <row r="111" spans="1:11" x14ac:dyDescent="0.35">
      <c r="A111">
        <v>5</v>
      </c>
      <c r="B111">
        <v>0.9</v>
      </c>
      <c r="C111">
        <f>K109*(1-EXP(-K110*A111))</f>
        <v>2.5999999999440702</v>
      </c>
      <c r="D111">
        <f>B111-C111</f>
        <v>-1.6999999999440703</v>
      </c>
      <c r="E111">
        <f>D111^2</f>
        <v>2.8899999998098389</v>
      </c>
      <c r="F111">
        <f>(K111*A111*K109^2)/(1+K111*A111*K109)</f>
        <v>1.2355823195156377</v>
      </c>
      <c r="G111">
        <f>B111-F111</f>
        <v>-0.33558231951563766</v>
      </c>
      <c r="H111">
        <f>G111^2</f>
        <v>0.11261549317149552</v>
      </c>
      <c r="J111" t="s">
        <v>9</v>
      </c>
      <c r="K111">
        <v>6.9659602897519407E-2</v>
      </c>
    </row>
    <row r="112" spans="1:11" x14ac:dyDescent="0.35">
      <c r="A112">
        <v>10</v>
      </c>
      <c r="B112">
        <v>1.6</v>
      </c>
      <c r="C112">
        <f>K109*(1-EXP(-K110*A112))</f>
        <v>2.6</v>
      </c>
      <c r="D112">
        <f t="shared" ref="D112:D116" si="16">B112-C112</f>
        <v>-1</v>
      </c>
      <c r="E112">
        <f t="shared" ref="E112:E116" si="17">D112^2</f>
        <v>1</v>
      </c>
      <c r="F112">
        <f>(K111*A112*K109^2)/(1+K111*A112*K109)</f>
        <v>1.6751115023109913</v>
      </c>
      <c r="G112">
        <f t="shared" ref="G112:G116" si="18">B112-F112</f>
        <v>-7.5111502310991174E-2</v>
      </c>
      <c r="H112">
        <f t="shared" ref="H112:H116" si="19">G112^2</f>
        <v>5.6417377794140324E-3</v>
      </c>
      <c r="J112" t="s">
        <v>10</v>
      </c>
      <c r="K112">
        <f>SUM(E110:E116)</f>
        <v>4.7299999998098388</v>
      </c>
    </row>
    <row r="113" spans="1:11" x14ac:dyDescent="0.35">
      <c r="A113">
        <v>15</v>
      </c>
      <c r="B113">
        <v>1.8</v>
      </c>
      <c r="C113">
        <f>K109*(1-EXP(-K110*A113))</f>
        <v>2.6</v>
      </c>
      <c r="D113">
        <f t="shared" si="16"/>
        <v>-0.8</v>
      </c>
      <c r="E113">
        <f t="shared" si="17"/>
        <v>0.64000000000000012</v>
      </c>
      <c r="F113">
        <f>(K111*A113*K109^2)/(1+K111*A113*K109)</f>
        <v>1.9004593181701543</v>
      </c>
      <c r="G113">
        <f t="shared" si="18"/>
        <v>-0.1004593181701543</v>
      </c>
      <c r="H113">
        <f t="shared" si="19"/>
        <v>1.0092074607212294E-2</v>
      </c>
      <c r="J113" t="s">
        <v>11</v>
      </c>
      <c r="K113">
        <f>SUM(H110:H116)</f>
        <v>0.3911655126542285</v>
      </c>
    </row>
    <row r="114" spans="1:11" x14ac:dyDescent="0.35">
      <c r="A114">
        <v>20</v>
      </c>
      <c r="B114">
        <v>2.2000000000000002</v>
      </c>
      <c r="C114">
        <f>K109*(1-EXP(-K110*A114))</f>
        <v>2.6</v>
      </c>
      <c r="D114">
        <f t="shared" si="16"/>
        <v>-0.39999999999999991</v>
      </c>
      <c r="E114">
        <f t="shared" si="17"/>
        <v>0.15999999999999992</v>
      </c>
      <c r="F114">
        <f>(K111*A114*K109^2)/(1+K111*A114*K109)</f>
        <v>2.0375093859677085</v>
      </c>
      <c r="G114">
        <f t="shared" si="18"/>
        <v>0.1624906140322917</v>
      </c>
      <c r="H114">
        <f t="shared" si="19"/>
        <v>2.6403199648591193E-2</v>
      </c>
      <c r="J114" t="s">
        <v>28</v>
      </c>
      <c r="K114" cm="1">
        <f t="array" ref="K114">SUM((B110:B116-AVERAGE(B110:B116))^2)</f>
        <v>5.0771428571428574</v>
      </c>
    </row>
    <row r="115" spans="1:11" x14ac:dyDescent="0.35">
      <c r="A115">
        <v>25</v>
      </c>
      <c r="B115">
        <v>2.4</v>
      </c>
      <c r="C115">
        <f>K109*(1-EXP(-K110*A115))</f>
        <v>2.6</v>
      </c>
      <c r="D115">
        <f t="shared" si="16"/>
        <v>-0.20000000000000018</v>
      </c>
      <c r="E115">
        <f t="shared" si="17"/>
        <v>4.000000000000007E-2</v>
      </c>
      <c r="F115">
        <f>(K111*A115*K109^2)/(1+K111*A115*K109)</f>
        <v>2.1296564445180777</v>
      </c>
      <c r="G115">
        <f t="shared" si="18"/>
        <v>0.27034355548192224</v>
      </c>
      <c r="H115">
        <f t="shared" si="19"/>
        <v>7.3085637990607161E-2</v>
      </c>
      <c r="J115" t="s">
        <v>29</v>
      </c>
      <c r="K115" cm="1">
        <f t="array" ref="K115">SUM((B110:B116-AVERAGE(B110:B116))^2)</f>
        <v>5.0771428571428574</v>
      </c>
    </row>
    <row r="116" spans="1:11" x14ac:dyDescent="0.35">
      <c r="A116">
        <v>30</v>
      </c>
      <c r="B116">
        <v>2.6</v>
      </c>
      <c r="C116">
        <f>K109*(1-EXP(-K110*A116))</f>
        <v>2.6</v>
      </c>
      <c r="D116">
        <f t="shared" si="16"/>
        <v>0</v>
      </c>
      <c r="E116">
        <f t="shared" si="17"/>
        <v>0</v>
      </c>
      <c r="F116">
        <f>(K111*A116*K109^2)/(1+K111*A116*K109)</f>
        <v>2.1958621900181718</v>
      </c>
      <c r="G116">
        <f t="shared" si="18"/>
        <v>0.40413780998182824</v>
      </c>
      <c r="H116">
        <f t="shared" si="19"/>
        <v>0.16332736945690832</v>
      </c>
      <c r="J116" t="s">
        <v>30</v>
      </c>
      <c r="K116">
        <f>1-(K112/K114)</f>
        <v>6.8373663515226002E-2</v>
      </c>
    </row>
    <row r="117" spans="1:11" x14ac:dyDescent="0.35">
      <c r="J117" t="s">
        <v>31</v>
      </c>
      <c r="K117">
        <f>1-(K113/K115)</f>
        <v>0.92295558276365786</v>
      </c>
    </row>
    <row r="135" spans="1:11" x14ac:dyDescent="0.35">
      <c r="D135" s="6" t="s">
        <v>41</v>
      </c>
    </row>
    <row r="136" spans="1:11" x14ac:dyDescent="0.35">
      <c r="A136" t="s">
        <v>45</v>
      </c>
      <c r="B136" t="s">
        <v>47</v>
      </c>
      <c r="C136" t="s">
        <v>14</v>
      </c>
      <c r="D136" t="s">
        <v>2</v>
      </c>
      <c r="E136" t="s">
        <v>3</v>
      </c>
      <c r="F136" t="s">
        <v>15</v>
      </c>
      <c r="G136" t="s">
        <v>4</v>
      </c>
      <c r="H136" t="s">
        <v>5</v>
      </c>
      <c r="J136" t="s">
        <v>7</v>
      </c>
      <c r="K136">
        <v>23.2</v>
      </c>
    </row>
    <row r="137" spans="1:11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J137" t="s">
        <v>8</v>
      </c>
      <c r="K137">
        <v>0.25490254563428649</v>
      </c>
    </row>
    <row r="138" spans="1:11" x14ac:dyDescent="0.35">
      <c r="A138">
        <v>5</v>
      </c>
      <c r="B138">
        <v>16.600000000000001</v>
      </c>
      <c r="C138">
        <f>K136*(1-EXP(-K137*A138))</f>
        <v>16.714041882459309</v>
      </c>
      <c r="D138">
        <f>B138-C138</f>
        <v>-0.11404188245930769</v>
      </c>
      <c r="E138">
        <f>D138^2</f>
        <v>1.300555095486255E-2</v>
      </c>
      <c r="F138">
        <f>(K138*A138*K136^2)/(1+K138*A138*K136)</f>
        <v>18.623033060780912</v>
      </c>
      <c r="G138">
        <f>B138-F138</f>
        <v>-2.0230330607809108</v>
      </c>
      <c r="H138">
        <f>G138^2</f>
        <v>4.0926627650125802</v>
      </c>
      <c r="J138" t="s">
        <v>9</v>
      </c>
      <c r="K138">
        <v>3.5076370571817873E-2</v>
      </c>
    </row>
    <row r="139" spans="1:11" x14ac:dyDescent="0.35">
      <c r="A139">
        <v>10</v>
      </c>
      <c r="B139">
        <v>21.6</v>
      </c>
      <c r="C139">
        <f>K136*(1-EXP(-K137*A139))</f>
        <v>21.386739107651206</v>
      </c>
      <c r="D139">
        <f t="shared" ref="D139:D143" si="20">B139-C139</f>
        <v>0.21326089234879575</v>
      </c>
      <c r="E139">
        <f t="shared" ref="E139:E143" si="21">D139^2</f>
        <v>4.5480208205404653E-2</v>
      </c>
      <c r="F139">
        <f>(K138*A139*K136^2)/(1+K138*A139*K136)</f>
        <v>20.661072877340949</v>
      </c>
      <c r="G139">
        <f t="shared" ref="G139:G143" si="22">B139-F139</f>
        <v>0.93892712265905232</v>
      </c>
      <c r="H139">
        <f t="shared" ref="H139:H143" si="23">G139^2</f>
        <v>0.88158414166480703</v>
      </c>
      <c r="J139" t="s">
        <v>10</v>
      </c>
      <c r="K139">
        <f>SUM(E137:E143)</f>
        <v>6.5698649246416135E-2</v>
      </c>
    </row>
    <row r="140" spans="1:11" x14ac:dyDescent="0.35">
      <c r="A140">
        <v>15</v>
      </c>
      <c r="B140">
        <v>22.7</v>
      </c>
      <c r="C140">
        <f>K136*(1-EXP(-K137*A140))</f>
        <v>22.693071801553934</v>
      </c>
      <c r="D140">
        <f t="shared" si="20"/>
        <v>6.9281984460651813E-3</v>
      </c>
      <c r="E140">
        <f t="shared" si="21"/>
        <v>4.7999933708059992E-5</v>
      </c>
      <c r="F140">
        <f>(K138*A140*K136^2)/(1+K138*A140*K136)</f>
        <v>21.443299526286211</v>
      </c>
      <c r="G140">
        <f t="shared" si="22"/>
        <v>1.2567004737137886</v>
      </c>
      <c r="H140">
        <f t="shared" si="23"/>
        <v>1.5792960806324605</v>
      </c>
      <c r="J140" t="s">
        <v>11</v>
      </c>
      <c r="K140">
        <f>SUM(H137:H143)</f>
        <v>9.6673352865580018</v>
      </c>
    </row>
    <row r="141" spans="1:11" x14ac:dyDescent="0.35">
      <c r="A141">
        <v>20</v>
      </c>
      <c r="B141">
        <v>23</v>
      </c>
      <c r="C141">
        <f>K136*(1-EXP(-K137*A141))</f>
        <v>23.058279523115452</v>
      </c>
      <c r="D141">
        <f t="shared" si="20"/>
        <v>-5.8279523115452037E-2</v>
      </c>
      <c r="E141">
        <f t="shared" si="21"/>
        <v>3.3965028145645083E-3</v>
      </c>
      <c r="F141">
        <f>(K138*A141*K136^2)/(1+K138*A141*K136)</f>
        <v>21.857052703420763</v>
      </c>
      <c r="G141">
        <f t="shared" si="22"/>
        <v>1.1429472965792371</v>
      </c>
      <c r="H141">
        <f t="shared" si="23"/>
        <v>1.3063285227577865</v>
      </c>
      <c r="J141" t="s">
        <v>28</v>
      </c>
      <c r="K141" cm="1">
        <f t="array" ref="K141">SUM((B137:B143-AVERAGE(B137:B143))^2)</f>
        <v>436.54</v>
      </c>
    </row>
    <row r="142" spans="1:11" x14ac:dyDescent="0.35">
      <c r="A142">
        <v>25</v>
      </c>
      <c r="B142">
        <v>23.1</v>
      </c>
      <c r="C142">
        <f>K136*(1-EXP(-K137*A142))</f>
        <v>23.160379608729695</v>
      </c>
      <c r="D142">
        <f t="shared" si="20"/>
        <v>-6.0379608729693501E-2</v>
      </c>
      <c r="E142">
        <f t="shared" si="21"/>
        <v>3.6456971503508796E-3</v>
      </c>
      <c r="F142">
        <f>(K138*A142*K136^2)/(1+K138*A142*K136)</f>
        <v>22.113058497631911</v>
      </c>
      <c r="G142">
        <f t="shared" si="22"/>
        <v>0.98694150236809008</v>
      </c>
      <c r="H142">
        <f t="shared" si="23"/>
        <v>0.97405352909658272</v>
      </c>
      <c r="J142" t="s">
        <v>29</v>
      </c>
      <c r="K142" cm="1">
        <f t="array" ref="K142">SUM((B137:B143-AVERAGE(B137:B143))^2)</f>
        <v>436.54</v>
      </c>
    </row>
    <row r="143" spans="1:11" x14ac:dyDescent="0.35">
      <c r="A143">
        <v>30</v>
      </c>
      <c r="B143">
        <v>23.2</v>
      </c>
      <c r="C143">
        <f>K136*(1-EXP(-K137*A143))</f>
        <v>23.188923439725009</v>
      </c>
      <c r="D143">
        <f t="shared" si="20"/>
        <v>1.1076560274990044E-2</v>
      </c>
      <c r="E143">
        <f t="shared" si="21"/>
        <v>1.2269018752548752E-4</v>
      </c>
      <c r="F143">
        <f>(K138*A143*K136^2)/(1+K138*A143*K136)</f>
        <v>22.28708694423084</v>
      </c>
      <c r="G143">
        <f t="shared" si="22"/>
        <v>0.9129130557691596</v>
      </c>
      <c r="H143">
        <f t="shared" si="23"/>
        <v>0.83341024739378466</v>
      </c>
      <c r="J143" t="s">
        <v>30</v>
      </c>
      <c r="K143">
        <f>1-(K139/K141)</f>
        <v>0.99984950142198559</v>
      </c>
    </row>
    <row r="144" spans="1:11" x14ac:dyDescent="0.35">
      <c r="J144" t="s">
        <v>31</v>
      </c>
      <c r="K144" s="8">
        <f>1-(K140/K142)</f>
        <v>0.97785464038448255</v>
      </c>
    </row>
    <row r="163" spans="1:11" x14ac:dyDescent="0.35">
      <c r="D163" s="6" t="s">
        <v>42</v>
      </c>
    </row>
    <row r="164" spans="1:11" x14ac:dyDescent="0.35">
      <c r="A164" t="s">
        <v>45</v>
      </c>
      <c r="B164" t="s">
        <v>47</v>
      </c>
      <c r="C164" t="s">
        <v>14</v>
      </c>
      <c r="D164" t="s">
        <v>2</v>
      </c>
      <c r="E164" t="s">
        <v>3</v>
      </c>
      <c r="F164" t="s">
        <v>15</v>
      </c>
      <c r="G164" t="s">
        <v>4</v>
      </c>
      <c r="H164" t="s">
        <v>5</v>
      </c>
      <c r="J164" t="s">
        <v>43</v>
      </c>
      <c r="K164">
        <v>8.59</v>
      </c>
    </row>
    <row r="165" spans="1:11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J165" t="s">
        <v>8</v>
      </c>
      <c r="K165">
        <v>9.5611713268054788E-2</v>
      </c>
    </row>
    <row r="166" spans="1:11" x14ac:dyDescent="0.35">
      <c r="A166">
        <v>5</v>
      </c>
      <c r="B166">
        <v>1.89</v>
      </c>
      <c r="C166">
        <f>K164*(1-EXP(-K165*A166))</f>
        <v>3.2643212425727297</v>
      </c>
      <c r="D166">
        <f>B166-C166</f>
        <v>-1.3743212425727298</v>
      </c>
      <c r="E166">
        <f>D166^2</f>
        <v>1.888758877786652</v>
      </c>
      <c r="F166">
        <f>(K166*A166*K164^2)/(1+K166*A166*K164)</f>
        <v>3.6911746435306974</v>
      </c>
      <c r="G166">
        <f>B166-F166</f>
        <v>-1.8011746435306975</v>
      </c>
      <c r="H166">
        <f>G166^2</f>
        <v>3.2442300964979349</v>
      </c>
      <c r="J166" t="s">
        <v>9</v>
      </c>
      <c r="K166">
        <v>1.7543226417941416E-2</v>
      </c>
    </row>
    <row r="167" spans="1:11" x14ac:dyDescent="0.35">
      <c r="A167">
        <v>10</v>
      </c>
      <c r="B167">
        <v>3.39</v>
      </c>
      <c r="C167">
        <f>K164*(1-EXP(-K165*A167))</f>
        <v>5.2881543390789201</v>
      </c>
      <c r="D167">
        <f t="shared" ref="D167:D171" si="24">B167-C167</f>
        <v>-1.8981543390789199</v>
      </c>
      <c r="E167">
        <f t="shared" ref="E167:E171" si="25">D167^2</f>
        <v>3.6029898949641312</v>
      </c>
      <c r="F167">
        <f>(K166*A167*K164^2)/(1+K166*A167*K164)</f>
        <v>5.1635435710754187</v>
      </c>
      <c r="G167">
        <f t="shared" ref="G167:G171" si="26">B167-F167</f>
        <v>-1.7735435710754186</v>
      </c>
      <c r="H167">
        <f t="shared" ref="H167:H171" si="27">G167^2</f>
        <v>3.1454567985029485</v>
      </c>
      <c r="J167" t="s">
        <v>10</v>
      </c>
      <c r="K167">
        <f>SUM(E165:E171)</f>
        <v>10.053794462141811</v>
      </c>
    </row>
    <row r="168" spans="1:11" x14ac:dyDescent="0.35">
      <c r="A168">
        <v>15</v>
      </c>
      <c r="B168">
        <v>7.99</v>
      </c>
      <c r="C168">
        <f>K164*(1-EXP(-K165*A168))</f>
        <v>6.5429022937519434</v>
      </c>
      <c r="D168">
        <f t="shared" si="24"/>
        <v>1.4470977062480568</v>
      </c>
      <c r="E168">
        <f t="shared" si="25"/>
        <v>2.0940917714283871</v>
      </c>
      <c r="F168">
        <f>(K166*A168*K164^2)/(1+K166*A168*K164)</f>
        <v>5.9553900840899159</v>
      </c>
      <c r="G168">
        <f t="shared" si="26"/>
        <v>2.0346099159100843</v>
      </c>
      <c r="H168">
        <f t="shared" si="27"/>
        <v>4.1396375099196403</v>
      </c>
      <c r="J168" t="s">
        <v>11</v>
      </c>
      <c r="K168">
        <f>SUM(H165:H171)</f>
        <v>162.20075925021771</v>
      </c>
    </row>
    <row r="169" spans="1:11" x14ac:dyDescent="0.35">
      <c r="A169">
        <v>20</v>
      </c>
      <c r="B169">
        <v>8.59</v>
      </c>
      <c r="C169">
        <f>K164*(1-EXP(-K165*A169))</f>
        <v>7.3208283156526939</v>
      </c>
      <c r="D169">
        <f t="shared" si="24"/>
        <v>1.269171684347306</v>
      </c>
      <c r="E169">
        <f t="shared" si="25"/>
        <v>1.6107967643489778</v>
      </c>
      <c r="F169">
        <f>(K166*A169*K164^2)/(1+K166*A169*K164)</f>
        <v>6.4499507412502632</v>
      </c>
      <c r="G169">
        <f t="shared" si="26"/>
        <v>2.1400492587497366</v>
      </c>
      <c r="H169">
        <f t="shared" si="27"/>
        <v>4.5798108298752975</v>
      </c>
      <c r="J169" t="s">
        <v>28</v>
      </c>
      <c r="K169" cm="1">
        <f t="array" ref="K169">SUM((B165:B171-AVERAGE(B165:B171))^2)</f>
        <v>82.536942857142847</v>
      </c>
    </row>
    <row r="170" spans="1:11" x14ac:dyDescent="0.35">
      <c r="A170">
        <v>25</v>
      </c>
      <c r="B170">
        <v>8.59</v>
      </c>
      <c r="C170">
        <f>K164*(1-EXP(-K165*A170))</f>
        <v>7.8031314692832785</v>
      </c>
      <c r="D170">
        <f t="shared" si="24"/>
        <v>0.78686853071672136</v>
      </c>
      <c r="E170">
        <f t="shared" si="25"/>
        <v>0.61916208463229183</v>
      </c>
      <c r="F170">
        <f>(K164*A170*K166^2)/(1+K164*A170*K166)</f>
        <v>1.3863401472321389E-2</v>
      </c>
      <c r="G170">
        <f t="shared" si="26"/>
        <v>8.576136598527679</v>
      </c>
      <c r="H170">
        <f t="shared" si="27"/>
        <v>73.550118956605914</v>
      </c>
      <c r="J170" t="s">
        <v>29</v>
      </c>
      <c r="K170" cm="1">
        <f t="array" ref="K170">SUM((B165:B171-AVERAGE(B165:B171))^2)</f>
        <v>82.536942857142847</v>
      </c>
    </row>
    <row r="171" spans="1:11" x14ac:dyDescent="0.35">
      <c r="A171">
        <v>30</v>
      </c>
      <c r="B171">
        <v>8.59</v>
      </c>
      <c r="C171">
        <f>K164*(1-EXP(-K165*A171))</f>
        <v>8.102152617121531</v>
      </c>
      <c r="D171">
        <f t="shared" si="24"/>
        <v>0.48784738287846885</v>
      </c>
      <c r="E171">
        <f t="shared" si="25"/>
        <v>0.23799506898137138</v>
      </c>
      <c r="F171">
        <f>(K164*A171*K166^2)/(1+K164*A171*K166)</f>
        <v>1.4365617704076794E-2</v>
      </c>
      <c r="G171">
        <f t="shared" si="26"/>
        <v>8.5756343822959238</v>
      </c>
      <c r="H171">
        <f t="shared" si="27"/>
        <v>73.541505058815986</v>
      </c>
      <c r="J171" t="s">
        <v>30</v>
      </c>
      <c r="K171" s="8">
        <f>1-(K167/K169)</f>
        <v>0.8781903701044127</v>
      </c>
    </row>
    <row r="172" spans="1:11" x14ac:dyDescent="0.35">
      <c r="J172" t="s">
        <v>31</v>
      </c>
      <c r="K172">
        <f>1-(K168/K170)</f>
        <v>-0.96518981240871904</v>
      </c>
    </row>
    <row r="190" spans="1:11" x14ac:dyDescent="0.35">
      <c r="D190" s="6" t="s">
        <v>44</v>
      </c>
    </row>
    <row r="191" spans="1:11" x14ac:dyDescent="0.35">
      <c r="A191" t="s">
        <v>45</v>
      </c>
      <c r="B191" t="s">
        <v>47</v>
      </c>
      <c r="C191" t="s">
        <v>14</v>
      </c>
      <c r="D191" t="s">
        <v>2</v>
      </c>
      <c r="E191" t="s">
        <v>3</v>
      </c>
      <c r="F191" t="s">
        <v>15</v>
      </c>
      <c r="G191" t="s">
        <v>4</v>
      </c>
      <c r="H191" t="s">
        <v>5</v>
      </c>
      <c r="J191" t="s">
        <v>7</v>
      </c>
      <c r="K191">
        <v>0.1</v>
      </c>
    </row>
    <row r="192" spans="1:11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J192" t="s">
        <v>8</v>
      </c>
      <c r="K192" s="9">
        <v>5368709.2199999997</v>
      </c>
    </row>
    <row r="193" spans="1:11" x14ac:dyDescent="0.35">
      <c r="A193">
        <v>5</v>
      </c>
      <c r="B193">
        <v>0.1</v>
      </c>
      <c r="C193">
        <f>K191*(1-EXP(-K192*A193))</f>
        <v>0.1</v>
      </c>
      <c r="D193">
        <f>B193-C193</f>
        <v>0</v>
      </c>
      <c r="E193">
        <f>D193^2</f>
        <v>0</v>
      </c>
      <c r="F193">
        <f>(K193*A193*K191^2)/(1+K193*A193*K191)</f>
        <v>1.1792745047219636E-2</v>
      </c>
      <c r="G193">
        <f>B193-F193</f>
        <v>8.8207254952780367E-2</v>
      </c>
      <c r="H193">
        <f>G193^2</f>
        <v>7.7805198263047968E-3</v>
      </c>
      <c r="J193" t="s">
        <v>9</v>
      </c>
      <c r="K193">
        <v>0.26738719062355121</v>
      </c>
    </row>
    <row r="194" spans="1:11" x14ac:dyDescent="0.35">
      <c r="A194">
        <v>10</v>
      </c>
      <c r="B194">
        <v>0.1</v>
      </c>
      <c r="C194">
        <f>K191*(1-EXP(-K192*A194))</f>
        <v>0.1</v>
      </c>
      <c r="D194">
        <f t="shared" ref="D194:D198" si="28">B194-C194</f>
        <v>0</v>
      </c>
      <c r="E194">
        <f t="shared" ref="E194:E198" si="29">D194^2</f>
        <v>0</v>
      </c>
      <c r="F194">
        <f>(K193*A194*K191^2)/(1+K193*A194*K191)</f>
        <v>2.1097514051092583E-2</v>
      </c>
      <c r="G194">
        <f t="shared" ref="G194:G198" si="30">B194-F194</f>
        <v>7.8902485948907419E-2</v>
      </c>
      <c r="H194">
        <f t="shared" ref="H194:H198" si="31">G194^2</f>
        <v>6.2256022889175325E-3</v>
      </c>
      <c r="J194" t="s">
        <v>10</v>
      </c>
      <c r="K194">
        <f>SUM(E192:E198)</f>
        <v>0</v>
      </c>
    </row>
    <row r="195" spans="1:11" x14ac:dyDescent="0.35">
      <c r="A195">
        <v>15</v>
      </c>
      <c r="B195">
        <v>0.1</v>
      </c>
      <c r="C195">
        <f>K191*(1-EXP(-K192*A195))</f>
        <v>0.1</v>
      </c>
      <c r="D195">
        <f t="shared" si="28"/>
        <v>0</v>
      </c>
      <c r="E195">
        <f t="shared" si="29"/>
        <v>0</v>
      </c>
      <c r="F195">
        <f>(K193*A195*K191^2)/(1+K193*A195*K191)</f>
        <v>2.8626528174645925E-2</v>
      </c>
      <c r="G195">
        <f t="shared" si="30"/>
        <v>7.1373471825354085E-2</v>
      </c>
      <c r="H195">
        <f t="shared" si="31"/>
        <v>5.0941724804046129E-3</v>
      </c>
      <c r="J195" t="s">
        <v>11</v>
      </c>
      <c r="K195">
        <f>SUM(H192:H198)</f>
        <v>1.955942417732481E-2</v>
      </c>
    </row>
    <row r="196" spans="1:11" x14ac:dyDescent="0.35">
      <c r="A196">
        <v>20</v>
      </c>
      <c r="B196">
        <v>0.1</v>
      </c>
      <c r="C196">
        <f>K191*(1-EXP(-K192*A196))</f>
        <v>0.1</v>
      </c>
      <c r="D196">
        <f t="shared" si="28"/>
        <v>0</v>
      </c>
      <c r="E196">
        <f t="shared" si="29"/>
        <v>0</v>
      </c>
      <c r="F196">
        <f>(K191*A196*K193^2)/(1+K193*A196*K191)</f>
        <v>9.3167973850932159E-2</v>
      </c>
      <c r="G196">
        <f t="shared" si="30"/>
        <v>6.8320261490678463E-3</v>
      </c>
      <c r="H196">
        <f t="shared" si="31"/>
        <v>4.6676581301546827E-5</v>
      </c>
      <c r="J196" t="s">
        <v>28</v>
      </c>
      <c r="K196" cm="1">
        <f t="array" ref="K196">SUM((B192:B198-AVERAGE(B192:B198))^2)</f>
        <v>8.5714285714285736E-3</v>
      </c>
    </row>
    <row r="197" spans="1:11" x14ac:dyDescent="0.35">
      <c r="A197">
        <v>25</v>
      </c>
      <c r="B197">
        <v>0.1</v>
      </c>
      <c r="C197">
        <f>K191*(1-EXP(-K192*A197))</f>
        <v>0.1</v>
      </c>
      <c r="D197">
        <f t="shared" si="28"/>
        <v>0</v>
      </c>
      <c r="E197">
        <f t="shared" si="29"/>
        <v>0</v>
      </c>
      <c r="F197">
        <f>(K191*A197*K193^2)/(1+K191*A197*K193)</f>
        <v>0.10712808203998563</v>
      </c>
      <c r="G197">
        <f t="shared" si="30"/>
        <v>-7.1280820399856198E-3</v>
      </c>
      <c r="H197">
        <f t="shared" si="31"/>
        <v>5.0809553568765555E-5</v>
      </c>
      <c r="J197" t="s">
        <v>29</v>
      </c>
      <c r="K197" cm="1">
        <f t="array" ref="K197">SUM((B192:B198-AVERAGE(B192:B198))^2)</f>
        <v>8.5714285714285736E-3</v>
      </c>
    </row>
    <row r="198" spans="1:11" x14ac:dyDescent="0.35">
      <c r="A198">
        <v>30</v>
      </c>
      <c r="B198">
        <v>0.1</v>
      </c>
      <c r="C198">
        <f>K191*(1-EXP(-K192*A198))</f>
        <v>0.1</v>
      </c>
      <c r="D198">
        <f t="shared" si="28"/>
        <v>0</v>
      </c>
      <c r="E198">
        <f t="shared" si="29"/>
        <v>0</v>
      </c>
      <c r="F198">
        <f>(K191*A198*K193^2)/(1+K191*A198*K193)</f>
        <v>0.11901692527270265</v>
      </c>
      <c r="G198">
        <f t="shared" si="30"/>
        <v>-1.9016925272702642E-2</v>
      </c>
      <c r="H198">
        <f t="shared" si="31"/>
        <v>3.6164344682755649E-4</v>
      </c>
      <c r="J198" t="s">
        <v>30</v>
      </c>
      <c r="K198" s="8">
        <f>1-(K194/K196)</f>
        <v>1</v>
      </c>
    </row>
    <row r="199" spans="1:11" x14ac:dyDescent="0.35">
      <c r="J199" t="s">
        <v>31</v>
      </c>
      <c r="K199">
        <f>1-(K195/K197)</f>
        <v>-1.2819328206878939</v>
      </c>
    </row>
    <row r="217" spans="1:11" x14ac:dyDescent="0.35">
      <c r="D217" s="6" t="s">
        <v>57</v>
      </c>
    </row>
    <row r="218" spans="1:11" x14ac:dyDescent="0.35">
      <c r="A218" t="s">
        <v>45</v>
      </c>
      <c r="B218" t="s">
        <v>47</v>
      </c>
      <c r="C218" t="s">
        <v>14</v>
      </c>
      <c r="D218" t="s">
        <v>2</v>
      </c>
      <c r="E218" t="s">
        <v>3</v>
      </c>
      <c r="F218" t="s">
        <v>15</v>
      </c>
      <c r="G218" t="s">
        <v>4</v>
      </c>
      <c r="H218" t="s">
        <v>5</v>
      </c>
      <c r="J218" t="s">
        <v>7</v>
      </c>
      <c r="K218">
        <f>B225</f>
        <v>570.70000000000005</v>
      </c>
    </row>
    <row r="219" spans="1:11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J219" t="s">
        <v>8</v>
      </c>
      <c r="K219">
        <v>0.31217326858494965</v>
      </c>
    </row>
    <row r="220" spans="1:11" x14ac:dyDescent="0.35">
      <c r="A220">
        <v>5</v>
      </c>
      <c r="B220">
        <v>447.5</v>
      </c>
      <c r="C220">
        <f>K218*(1-EXP(-K219*A220))</f>
        <v>450.87919505107322</v>
      </c>
      <c r="D220">
        <f>B220-C220</f>
        <v>-3.3791950510732249</v>
      </c>
      <c r="E220">
        <f>D220^2</f>
        <v>11.418959193197775</v>
      </c>
      <c r="F220">
        <f>(K220*A220*K218^2)/(1+K220*A220*K218)</f>
        <v>484.65476638998626</v>
      </c>
      <c r="G220">
        <f>B220-F220</f>
        <v>-37.154766389986264</v>
      </c>
      <c r="H220">
        <f>G220^2</f>
        <v>1380.4766654944528</v>
      </c>
      <c r="J220" t="s">
        <v>9</v>
      </c>
      <c r="K220">
        <v>1.9739120274952847E-3</v>
      </c>
    </row>
    <row r="221" spans="1:11" x14ac:dyDescent="0.35">
      <c r="A221">
        <v>10</v>
      </c>
      <c r="B221">
        <v>557</v>
      </c>
      <c r="C221">
        <f>K218*(1-EXP(-K219*A221))</f>
        <v>545.54313071910155</v>
      </c>
      <c r="D221">
        <f t="shared" ref="D221:D225" si="32">B221-C221</f>
        <v>11.456869280898445</v>
      </c>
      <c r="E221">
        <f t="shared" ref="E221:E225" si="33">D221^2</f>
        <v>131.25985371959445</v>
      </c>
      <c r="F221">
        <f>(K220*A221*K218^2)/(1+K220*A221*K218)</f>
        <v>524.16966121239977</v>
      </c>
      <c r="G221">
        <f t="shared" ref="G221:G225" si="34">B221-F221</f>
        <v>32.830338787600226</v>
      </c>
      <c r="H221">
        <f t="shared" ref="H221:H225" si="35">G221^2</f>
        <v>1077.8311449086079</v>
      </c>
      <c r="J221" t="s">
        <v>10</v>
      </c>
      <c r="K221">
        <f>SUM(E219:E225)</f>
        <v>410.40204368063957</v>
      </c>
    </row>
    <row r="222" spans="1:11" x14ac:dyDescent="0.35">
      <c r="A222">
        <v>15</v>
      </c>
      <c r="B222">
        <v>558.20000000000005</v>
      </c>
      <c r="C222">
        <f>K218*(1-EXP(-K219*A222))</f>
        <v>565.41821214783215</v>
      </c>
      <c r="D222">
        <f t="shared" si="32"/>
        <v>-7.2182121478321051</v>
      </c>
      <c r="E222">
        <f t="shared" si="33"/>
        <v>52.102586611110972</v>
      </c>
      <c r="F222">
        <f>(K220*A222*K218^2)/(1+K220*A222*K218)</f>
        <v>538.8131747719832</v>
      </c>
      <c r="G222">
        <f t="shared" si="34"/>
        <v>19.386825228016846</v>
      </c>
      <c r="H222">
        <f t="shared" si="35"/>
        <v>375.84899242167046</v>
      </c>
      <c r="J222" t="s">
        <v>11</v>
      </c>
      <c r="K222">
        <f>SUM(H219:H225)</f>
        <v>3348.733806224694</v>
      </c>
    </row>
    <row r="223" spans="1:11" x14ac:dyDescent="0.35">
      <c r="A223">
        <v>20</v>
      </c>
      <c r="B223">
        <v>559.5</v>
      </c>
      <c r="C223">
        <f>K218*(1-EXP(-K219*A223))</f>
        <v>569.59106698437677</v>
      </c>
      <c r="D223">
        <f t="shared" si="32"/>
        <v>-10.091066984376766</v>
      </c>
      <c r="E223">
        <f t="shared" si="33"/>
        <v>101.8296328831788</v>
      </c>
      <c r="F223">
        <f>(K220*A223*K218^2)/(1+K220*A223*K218)</f>
        <v>546.44609536930818</v>
      </c>
      <c r="G223">
        <f t="shared" si="34"/>
        <v>13.053904630691818</v>
      </c>
      <c r="H223">
        <f t="shared" si="35"/>
        <v>170.40442610719728</v>
      </c>
      <c r="J223" t="s">
        <v>28</v>
      </c>
      <c r="K223" cm="1">
        <f t="array" ref="K223">SUM((B219:B225-AVERAGE(B219:B225))^2)</f>
        <v>262770.51428571431</v>
      </c>
    </row>
    <row r="224" spans="1:11" x14ac:dyDescent="0.35">
      <c r="A224">
        <v>25</v>
      </c>
      <c r="B224">
        <v>559.79999999999995</v>
      </c>
      <c r="C224">
        <f>K218*(1-EXP(-K219*A224))</f>
        <v>570.46717496659119</v>
      </c>
      <c r="D224">
        <f t="shared" si="32"/>
        <v>-10.667174966591233</v>
      </c>
      <c r="E224">
        <f t="shared" si="33"/>
        <v>113.78862176787067</v>
      </c>
      <c r="F224">
        <f>(K220*A224*K218^2)/(1+K220*A224*K218)</f>
        <v>551.13054169746363</v>
      </c>
      <c r="G224">
        <f t="shared" si="34"/>
        <v>8.6694583025363272</v>
      </c>
      <c r="H224">
        <f t="shared" si="35"/>
        <v>75.15950725941606</v>
      </c>
      <c r="J224" t="s">
        <v>29</v>
      </c>
      <c r="K224" cm="1">
        <f t="array" ref="K224">SUM((B219:B225-AVERAGE(B219:B225))^2)</f>
        <v>262770.51428571431</v>
      </c>
    </row>
    <row r="225" spans="1:11" x14ac:dyDescent="0.35">
      <c r="A225">
        <v>30</v>
      </c>
      <c r="B225">
        <v>570.70000000000005</v>
      </c>
      <c r="C225">
        <f>K218*(1-EXP(-K219*A225))</f>
        <v>570.65111742962097</v>
      </c>
      <c r="D225">
        <f t="shared" si="32"/>
        <v>4.8882570379078061E-2</v>
      </c>
      <c r="E225">
        <f t="shared" si="33"/>
        <v>2.3895056868655199E-3</v>
      </c>
      <c r="F225">
        <f>(K220*A225*K218^2)/(1+K220*A225*K218)</f>
        <v>554.29838209098421</v>
      </c>
      <c r="G225">
        <f t="shared" si="34"/>
        <v>16.40161790901584</v>
      </c>
      <c r="H225">
        <f t="shared" si="35"/>
        <v>269.01307003334915</v>
      </c>
      <c r="J225" t="s">
        <v>30</v>
      </c>
      <c r="K225">
        <f>1-(K221/K223)</f>
        <v>0.9984381731534977</v>
      </c>
    </row>
    <row r="226" spans="1:11" x14ac:dyDescent="0.35">
      <c r="J226" t="s">
        <v>31</v>
      </c>
      <c r="K226">
        <f>1-(K222/K224)</f>
        <v>0.98725605186210674</v>
      </c>
    </row>
    <row r="242" spans="1:11" x14ac:dyDescent="0.35">
      <c r="D242" s="6" t="s">
        <v>59</v>
      </c>
    </row>
    <row r="243" spans="1:11" x14ac:dyDescent="0.35">
      <c r="A243" t="s">
        <v>45</v>
      </c>
      <c r="B243" t="s">
        <v>47</v>
      </c>
      <c r="C243" t="s">
        <v>14</v>
      </c>
      <c r="D243" t="s">
        <v>2</v>
      </c>
      <c r="E243" t="s">
        <v>3</v>
      </c>
      <c r="F243" t="s">
        <v>15</v>
      </c>
      <c r="G243" t="s">
        <v>4</v>
      </c>
      <c r="H243" t="s">
        <v>5</v>
      </c>
      <c r="J243" t="s">
        <v>7</v>
      </c>
      <c r="K243">
        <v>1.6</v>
      </c>
    </row>
    <row r="244" spans="1:11" x14ac:dyDescent="0.35">
      <c r="A244">
        <v>0</v>
      </c>
      <c r="B244">
        <v>0</v>
      </c>
      <c r="C244">
        <v>0</v>
      </c>
      <c r="D244">
        <f>B244-C244</f>
        <v>0</v>
      </c>
      <c r="E244">
        <f>D244^2</f>
        <v>0</v>
      </c>
      <c r="F244">
        <v>0</v>
      </c>
      <c r="G244">
        <f>B244-F244</f>
        <v>0</v>
      </c>
      <c r="H244">
        <f>G244^2</f>
        <v>0</v>
      </c>
      <c r="J244" t="s">
        <v>8</v>
      </c>
      <c r="K244">
        <v>0.12504827052258438</v>
      </c>
    </row>
    <row r="245" spans="1:11" x14ac:dyDescent="0.35">
      <c r="A245">
        <v>5</v>
      </c>
      <c r="B245">
        <v>0.9</v>
      </c>
      <c r="C245">
        <f>K243*(1-EXP(-K244*A245))</f>
        <v>0.74378838821896665</v>
      </c>
      <c r="D245">
        <f t="shared" ref="D245:D250" si="36">B245-C245</f>
        <v>0.15621161178103338</v>
      </c>
      <c r="E245">
        <f t="shared" ref="E245:E250" si="37">D245^2</f>
        <v>2.4402067655228284E-2</v>
      </c>
      <c r="F245">
        <f>(K245*A245*K243^2)/(1+K245*A245*K243)</f>
        <v>0.93824174903442448</v>
      </c>
      <c r="G245">
        <f t="shared" ref="G245:G250" si="38">B245-F245</f>
        <v>-3.8241749034424455E-2</v>
      </c>
      <c r="H245">
        <f t="shared" ref="H245:H250" si="39">G245^2</f>
        <v>1.4624313692119038E-3</v>
      </c>
      <c r="J245" t="s">
        <v>9</v>
      </c>
      <c r="K245">
        <v>0.17722517015568562</v>
      </c>
    </row>
    <row r="246" spans="1:11" x14ac:dyDescent="0.35">
      <c r="A246">
        <v>10</v>
      </c>
      <c r="B246">
        <v>1.2</v>
      </c>
      <c r="C246">
        <f>K243*(1-EXP(-K244*A246))</f>
        <v>1.1418135474070781</v>
      </c>
      <c r="D246">
        <f t="shared" si="36"/>
        <v>5.8186452592921878E-2</v>
      </c>
      <c r="E246">
        <f t="shared" si="37"/>
        <v>3.385663265348345E-3</v>
      </c>
      <c r="F246">
        <f>(K245*A246*K243^2)/(1+K245*A246*K243)</f>
        <v>1.1828556511814901</v>
      </c>
      <c r="G246">
        <f t="shared" si="38"/>
        <v>1.7144348818509902E-2</v>
      </c>
      <c r="H246">
        <f t="shared" si="39"/>
        <v>2.9392869641074189E-4</v>
      </c>
      <c r="J246" t="s">
        <v>61</v>
      </c>
      <c r="K246">
        <f>SUM(E244:E250)</f>
        <v>7.4742049880273956E-2</v>
      </c>
    </row>
    <row r="247" spans="1:11" x14ac:dyDescent="0.35">
      <c r="A247">
        <v>15</v>
      </c>
      <c r="B247">
        <v>1.2</v>
      </c>
      <c r="C247">
        <f>K243*(1-EXP(-K244*A247))</f>
        <v>1.3548096493307378</v>
      </c>
      <c r="D247">
        <f t="shared" si="36"/>
        <v>-0.15480964933073782</v>
      </c>
      <c r="E247">
        <f t="shared" si="37"/>
        <v>2.3966027525906014E-2</v>
      </c>
      <c r="F247">
        <f>(K245*A247*K243^2)/(1+K245*A247*K243)</f>
        <v>1.2954355738685139</v>
      </c>
      <c r="G247">
        <f t="shared" si="38"/>
        <v>-9.5435573868513979E-2</v>
      </c>
      <c r="H247">
        <f t="shared" si="39"/>
        <v>9.1079487596125875E-3</v>
      </c>
      <c r="J247" t="s">
        <v>62</v>
      </c>
      <c r="K247">
        <f>SUM(H244:H250)</f>
        <v>4.0781153906180652E-2</v>
      </c>
    </row>
    <row r="248" spans="1:11" x14ac:dyDescent="0.35">
      <c r="A248">
        <v>20</v>
      </c>
      <c r="B248">
        <v>1.4</v>
      </c>
      <c r="C248">
        <f>K243*(1-EXP(-K244*A248))</f>
        <v>1.4687907341626965</v>
      </c>
      <c r="D248">
        <f t="shared" si="36"/>
        <v>-6.8790734162696543E-2</v>
      </c>
      <c r="E248">
        <f t="shared" si="37"/>
        <v>4.7321651066427849E-3</v>
      </c>
      <c r="F248">
        <f>(K245*A248*K243^2)/(1+K245*A248*K243)</f>
        <v>1.360163284852288</v>
      </c>
      <c r="G248">
        <f t="shared" si="38"/>
        <v>3.9836715147711921E-2</v>
      </c>
      <c r="H248">
        <f t="shared" si="39"/>
        <v>1.5869638737599403E-3</v>
      </c>
      <c r="J248" t="s">
        <v>63</v>
      </c>
      <c r="K248" cm="1">
        <f t="array" ref="K248">SUM((B244:B250-AVERAGE(B244:B250))^2)</f>
        <v>1.7000000000000002</v>
      </c>
    </row>
    <row r="249" spans="1:11" x14ac:dyDescent="0.35">
      <c r="A249">
        <v>25</v>
      </c>
      <c r="B249">
        <v>1.4</v>
      </c>
      <c r="C249">
        <f>K243*(1-EXP(-K244*A249))</f>
        <v>1.5297856893855226</v>
      </c>
      <c r="D249">
        <f t="shared" si="36"/>
        <v>-0.12978568938552271</v>
      </c>
      <c r="E249">
        <f t="shared" si="37"/>
        <v>1.6844325169275382E-2</v>
      </c>
      <c r="F249">
        <f>(K245*A249*K243^2)/(1+K245*A249*K243)</f>
        <v>1.402200685655473</v>
      </c>
      <c r="G249">
        <f t="shared" si="38"/>
        <v>-2.2006856554730447E-3</v>
      </c>
      <c r="H249">
        <f t="shared" si="39"/>
        <v>4.8430173542048245E-6</v>
      </c>
      <c r="J249" t="s">
        <v>64</v>
      </c>
      <c r="K249" cm="1">
        <f t="array" ref="K249">SUM((B244:B250-AVERAGE(B244:B250))^2)</f>
        <v>1.7000000000000002</v>
      </c>
    </row>
    <row r="250" spans="1:11" x14ac:dyDescent="0.35">
      <c r="A250">
        <v>30</v>
      </c>
      <c r="B250">
        <v>1.6</v>
      </c>
      <c r="C250">
        <f>K243*(1-EXP(-K244*A250))</f>
        <v>1.5624260574616777</v>
      </c>
      <c r="D250">
        <f t="shared" si="36"/>
        <v>3.7573942538322358E-2</v>
      </c>
      <c r="E250">
        <f t="shared" si="37"/>
        <v>1.4118011578731504E-3</v>
      </c>
      <c r="F250">
        <f>(K245*A250*K243^2)/(1+K245*A250*K243)</f>
        <v>1.4316995597455811</v>
      </c>
      <c r="G250">
        <f t="shared" si="38"/>
        <v>0.16830044025441904</v>
      </c>
      <c r="H250">
        <f t="shared" si="39"/>
        <v>2.8325038189831273E-2</v>
      </c>
      <c r="J250" t="s">
        <v>65</v>
      </c>
      <c r="K250">
        <f>1-(K246/K248)</f>
        <v>0.95603408830572123</v>
      </c>
    </row>
    <row r="251" spans="1:11" x14ac:dyDescent="0.35">
      <c r="J251" t="s">
        <v>66</v>
      </c>
      <c r="K251">
        <f>1-(K247/K249)</f>
        <v>0.97601108593754082</v>
      </c>
    </row>
    <row r="268" spans="1:11" x14ac:dyDescent="0.35">
      <c r="D268" s="6" t="s">
        <v>60</v>
      </c>
    </row>
    <row r="269" spans="1:11" x14ac:dyDescent="0.35">
      <c r="A269" t="s">
        <v>45</v>
      </c>
      <c r="B269" t="s">
        <v>68</v>
      </c>
      <c r="C269" t="s">
        <v>14</v>
      </c>
      <c r="D269" t="s">
        <v>2</v>
      </c>
      <c r="E269" t="s">
        <v>3</v>
      </c>
      <c r="F269" t="s">
        <v>15</v>
      </c>
      <c r="G269" t="s">
        <v>4</v>
      </c>
      <c r="H269" t="s">
        <v>5</v>
      </c>
      <c r="J269" t="s">
        <v>7</v>
      </c>
      <c r="K269">
        <v>3.19</v>
      </c>
    </row>
    <row r="270" spans="1:11" x14ac:dyDescent="0.35">
      <c r="A270">
        <v>0</v>
      </c>
      <c r="B270">
        <v>0</v>
      </c>
      <c r="C270">
        <v>0</v>
      </c>
      <c r="D270">
        <f>B270-C270</f>
        <v>0</v>
      </c>
      <c r="E270">
        <f>D270^2</f>
        <v>0</v>
      </c>
      <c r="F270">
        <v>0</v>
      </c>
      <c r="G270">
        <f>B270-F270</f>
        <v>0</v>
      </c>
      <c r="H270">
        <f>G270^2</f>
        <v>0</v>
      </c>
      <c r="J270" t="s">
        <v>8</v>
      </c>
      <c r="K270">
        <v>7.4914261536142057E-2</v>
      </c>
    </row>
    <row r="271" spans="1:11" x14ac:dyDescent="0.35">
      <c r="A271">
        <v>5</v>
      </c>
      <c r="B271">
        <v>1.19</v>
      </c>
      <c r="C271">
        <f>K269*(1-EXP(-K270*A271))</f>
        <v>0.99660711149120995</v>
      </c>
      <c r="D271">
        <f t="shared" ref="D271:D276" si="40">B271-C271</f>
        <v>0.19339288850879</v>
      </c>
      <c r="E271">
        <f t="shared" ref="E271:E276" si="41">D271^2</f>
        <v>3.7400809325773277E-2</v>
      </c>
      <c r="F271">
        <f>(K271*A245*K269^2)/(1+K271*A245*K269)</f>
        <v>1.3245992336026009</v>
      </c>
      <c r="G271">
        <f t="shared" ref="G271:G276" si="42">B271-F271</f>
        <v>-0.13459923360260095</v>
      </c>
      <c r="H271">
        <f t="shared" ref="H271:H276" si="43">G271^2</f>
        <v>1.811695368640754E-2</v>
      </c>
      <c r="J271" t="s">
        <v>9</v>
      </c>
      <c r="K271">
        <v>4.451964177862245E-2</v>
      </c>
    </row>
    <row r="272" spans="1:11" x14ac:dyDescent="0.35">
      <c r="A272">
        <v>10</v>
      </c>
      <c r="B272">
        <v>1.89</v>
      </c>
      <c r="C272">
        <f>K269*(1-EXP(-K270*A272))</f>
        <v>1.6818581933037826</v>
      </c>
      <c r="D272">
        <f t="shared" si="40"/>
        <v>0.20814180669621729</v>
      </c>
      <c r="E272">
        <f t="shared" si="41"/>
        <v>4.3323011694765483E-2</v>
      </c>
      <c r="F272">
        <f>(K271*A246*K269^2)/(1+K271*A246*K269)</f>
        <v>1.8719143545419055</v>
      </c>
      <c r="G272">
        <f t="shared" si="42"/>
        <v>1.8085645458094435E-2</v>
      </c>
      <c r="H272">
        <f t="shared" si="43"/>
        <v>3.2709057163589187E-4</v>
      </c>
      <c r="J272" t="s">
        <v>10</v>
      </c>
      <c r="K272">
        <f>SUM(E270:E276)</f>
        <v>0.40118521563670728</v>
      </c>
    </row>
    <row r="273" spans="1:11" x14ac:dyDescent="0.35">
      <c r="A273">
        <v>15</v>
      </c>
      <c r="B273">
        <v>2.09</v>
      </c>
      <c r="C273">
        <f>K269*(1-EXP(-K270*A273))</f>
        <v>2.1530258577836108</v>
      </c>
      <c r="D273">
        <f t="shared" si="40"/>
        <v>-6.3025857783610917E-2</v>
      </c>
      <c r="E273">
        <f t="shared" si="41"/>
        <v>3.9722587493599484E-3</v>
      </c>
      <c r="F273">
        <f>(K271*A247*K269^2)/(1+K271*A247*K269)</f>
        <v>2.1709169052519233</v>
      </c>
      <c r="G273">
        <f t="shared" si="42"/>
        <v>-8.091690525192341E-2</v>
      </c>
      <c r="H273">
        <f t="shared" si="43"/>
        <v>6.5475455555487503E-3</v>
      </c>
      <c r="J273" t="s">
        <v>11</v>
      </c>
      <c r="K273">
        <f>SUM(H270:H276)</f>
        <v>0.43711370189923782</v>
      </c>
    </row>
    <row r="274" spans="1:11" x14ac:dyDescent="0.35">
      <c r="A274">
        <v>20</v>
      </c>
      <c r="B274">
        <v>2.29</v>
      </c>
      <c r="C274">
        <f>K269*(1-EXP(-K270*A274))</f>
        <v>2.4769931946379526</v>
      </c>
      <c r="D274">
        <f t="shared" si="40"/>
        <v>-0.18699319463795261</v>
      </c>
      <c r="E274">
        <f t="shared" si="41"/>
        <v>3.4966454840907227E-2</v>
      </c>
      <c r="F274">
        <f>(K271*A248*K269^2)/(1+K271*A248*K269)</f>
        <v>2.3593472242890527</v>
      </c>
      <c r="G274">
        <f t="shared" si="42"/>
        <v>-6.9347224289052711E-2</v>
      </c>
      <c r="H274">
        <f t="shared" si="43"/>
        <v>4.809037516596182E-3</v>
      </c>
      <c r="J274" t="s">
        <v>28</v>
      </c>
      <c r="K274" cm="1">
        <f t="array" ref="K274">SUM((B270:B276-AVERAGE(B270:B276))^2)</f>
        <v>6.100085714285715</v>
      </c>
    </row>
    <row r="275" spans="1:11" x14ac:dyDescent="0.35">
      <c r="A275">
        <v>25</v>
      </c>
      <c r="B275">
        <v>2.29</v>
      </c>
      <c r="C275">
        <f>K269*(1-EXP(-K270*A275))</f>
        <v>2.6997479447211643</v>
      </c>
      <c r="D275">
        <f t="shared" si="40"/>
        <v>-0.40974794472116427</v>
      </c>
      <c r="E275">
        <f t="shared" si="41"/>
        <v>0.16789337820321829</v>
      </c>
      <c r="F275">
        <f>(K271*A249*K269^2)/(1+K271*A249*K269)</f>
        <v>2.4889691115073864</v>
      </c>
      <c r="G275">
        <f t="shared" si="42"/>
        <v>-0.19896911150738639</v>
      </c>
      <c r="H275">
        <f t="shared" si="43"/>
        <v>3.9588707334038756E-2</v>
      </c>
      <c r="J275" t="s">
        <v>29</v>
      </c>
      <c r="K275" cm="1">
        <f t="array" ref="K275">SUM((B270:B276-AVERAGE(B270:B276))^2)</f>
        <v>6.100085714285715</v>
      </c>
    </row>
    <row r="276" spans="1:11" x14ac:dyDescent="0.35">
      <c r="A276">
        <v>30</v>
      </c>
      <c r="B276">
        <v>3.19</v>
      </c>
      <c r="C276">
        <f>K269*(1-EXP(-K270*A276))</f>
        <v>2.8529105418102145</v>
      </c>
      <c r="D276">
        <f t="shared" si="40"/>
        <v>0.33708945818978542</v>
      </c>
      <c r="E276">
        <f t="shared" si="41"/>
        <v>0.11362930282268309</v>
      </c>
      <c r="F276">
        <f>(K271*A250*K269^2)/(1+K271*A250*K269)</f>
        <v>2.5835971906108854</v>
      </c>
      <c r="G276">
        <f t="shared" si="42"/>
        <v>0.60640280938911451</v>
      </c>
      <c r="H276">
        <f t="shared" si="43"/>
        <v>0.36772436723501073</v>
      </c>
      <c r="J276" t="s">
        <v>30</v>
      </c>
      <c r="K276">
        <f>1-(K272/K274)</f>
        <v>0.93423285599132211</v>
      </c>
    </row>
    <row r="277" spans="1:11" x14ac:dyDescent="0.35">
      <c r="J277" t="s">
        <v>31</v>
      </c>
      <c r="K277">
        <f>1-(K273/K275)</f>
        <v>0.92834302297169913</v>
      </c>
    </row>
  </sheetData>
  <pageMargins left="0.7" right="0.7" top="0.75" bottom="0.75" header="0.3" footer="0.3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EA72-8631-41EC-9726-423B756DF434}">
  <dimension ref="A1:K279"/>
  <sheetViews>
    <sheetView zoomScale="69" zoomScaleNormal="55" workbookViewId="0">
      <selection activeCell="K281" sqref="K281"/>
    </sheetView>
  </sheetViews>
  <sheetFormatPr defaultRowHeight="14.5" x14ac:dyDescent="0.35"/>
  <cols>
    <col min="1" max="1" width="17.1796875" customWidth="1"/>
    <col min="2" max="2" width="32.81640625" customWidth="1"/>
    <col min="3" max="3" width="24.7265625" customWidth="1"/>
    <col min="4" max="4" width="15.1796875" customWidth="1"/>
    <col min="5" max="5" width="20.81640625" customWidth="1"/>
    <col min="6" max="6" width="24.54296875" customWidth="1"/>
    <col min="7" max="7" width="14.453125" customWidth="1"/>
    <col min="8" max="8" width="18.453125" customWidth="1"/>
    <col min="9" max="9" width="14.54296875" customWidth="1"/>
    <col min="10" max="10" width="16" customWidth="1"/>
    <col min="11" max="11" width="21.90625" customWidth="1"/>
  </cols>
  <sheetData>
    <row r="1" spans="1:11" x14ac:dyDescent="0.35">
      <c r="D1" s="6" t="s">
        <v>34</v>
      </c>
    </row>
    <row r="2" spans="1:11" x14ac:dyDescent="0.35">
      <c r="A2" t="s">
        <v>45</v>
      </c>
      <c r="B2" t="s">
        <v>48</v>
      </c>
      <c r="C2" t="s">
        <v>14</v>
      </c>
      <c r="D2" t="s">
        <v>2</v>
      </c>
      <c r="E2" t="s">
        <v>3</v>
      </c>
      <c r="F2" t="s">
        <v>15</v>
      </c>
      <c r="G2" t="s">
        <v>4</v>
      </c>
      <c r="H2" t="s">
        <v>5</v>
      </c>
      <c r="J2" t="s">
        <v>7</v>
      </c>
      <c r="K2">
        <v>121.9</v>
      </c>
    </row>
    <row r="3" spans="1:11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 t="s">
        <v>8</v>
      </c>
      <c r="K3">
        <v>0.56885347209935755</v>
      </c>
    </row>
    <row r="4" spans="1:11" x14ac:dyDescent="0.35">
      <c r="A4">
        <v>5</v>
      </c>
      <c r="B4">
        <v>115.5</v>
      </c>
      <c r="C4">
        <f>K2*(1-EXP(-K3*A4))</f>
        <v>114.80823908304502</v>
      </c>
      <c r="D4">
        <f>B4-C4</f>
        <v>0.69176091695497632</v>
      </c>
      <c r="E4">
        <f>D4^2</f>
        <v>0.47853316622638964</v>
      </c>
      <c r="F4">
        <f>(K4*A4*K2^2)/(1+K4*A4*K2)</f>
        <v>114.90159041455361</v>
      </c>
      <c r="G4">
        <f>B4-F4</f>
        <v>0.59840958544639022</v>
      </c>
      <c r="H4">
        <f>G4^2</f>
        <v>0.3580940319541206</v>
      </c>
      <c r="J4" t="s">
        <v>9</v>
      </c>
      <c r="K4">
        <v>2.693723244519966E-2</v>
      </c>
    </row>
    <row r="5" spans="1:11" x14ac:dyDescent="0.35">
      <c r="A5">
        <v>10</v>
      </c>
      <c r="B5">
        <v>115.7</v>
      </c>
      <c r="C5">
        <f>K2*(1-EXP(-K3*A5))</f>
        <v>121.48742352007179</v>
      </c>
      <c r="D5">
        <f t="shared" ref="D5:D9" si="0">B5-C5</f>
        <v>-5.7874235200717834</v>
      </c>
      <c r="E5">
        <f t="shared" ref="E5:E9" si="1">D5^2</f>
        <v>33.494271000680072</v>
      </c>
      <c r="F5">
        <f>(K4*A5*K2^2)/(1+K4*A5*K2)</f>
        <v>118.29738007260663</v>
      </c>
      <c r="G5">
        <f t="shared" ref="G5:G9" si="2">B5-F5</f>
        <v>-2.5973800726066258</v>
      </c>
      <c r="H5">
        <f t="shared" ref="H5:H9" si="3">G5^2</f>
        <v>6.7463832415740006</v>
      </c>
      <c r="J5" t="s">
        <v>10</v>
      </c>
      <c r="K5">
        <f>SUM(E3:E9)</f>
        <v>39.756977593788775</v>
      </c>
    </row>
    <row r="6" spans="1:11" x14ac:dyDescent="0.35">
      <c r="A6">
        <v>15</v>
      </c>
      <c r="B6">
        <v>120.2</v>
      </c>
      <c r="C6">
        <f>K2*(1-EXP(-K3*A6))</f>
        <v>121.87599759019189</v>
      </c>
      <c r="D6">
        <f t="shared" si="0"/>
        <v>-1.6759975901918835</v>
      </c>
      <c r="E6">
        <f t="shared" si="1"/>
        <v>2.8089679223290007</v>
      </c>
      <c r="F6">
        <f>(K4*A6*K2^2)/(1+K4*A6*K2)</f>
        <v>119.47435765450061</v>
      </c>
      <c r="G6">
        <f t="shared" si="2"/>
        <v>0.72564234549939499</v>
      </c>
      <c r="H6">
        <f t="shared" si="3"/>
        <v>0.52655681358186335</v>
      </c>
      <c r="J6" t="s">
        <v>11</v>
      </c>
      <c r="K6">
        <f>SUM(H3:H9)</f>
        <v>10.51018407662696</v>
      </c>
    </row>
    <row r="7" spans="1:11" x14ac:dyDescent="0.35">
      <c r="A7">
        <v>20</v>
      </c>
      <c r="B7">
        <v>120.2</v>
      </c>
      <c r="C7">
        <f>K2*(1-EXP(-K3*A7))</f>
        <v>121.89860361483356</v>
      </c>
      <c r="D7">
        <f t="shared" si="0"/>
        <v>-1.6986036148335586</v>
      </c>
      <c r="E7">
        <f t="shared" si="1"/>
        <v>2.8852542403256325</v>
      </c>
      <c r="F7">
        <f>(K4*A7*K2^2)/(1+K4*A7*K2)</f>
        <v>120.07167294240885</v>
      </c>
      <c r="G7">
        <f t="shared" si="2"/>
        <v>0.12832705759115015</v>
      </c>
      <c r="H7">
        <f t="shared" si="3"/>
        <v>1.6467833710002367E-2</v>
      </c>
      <c r="J7" t="s">
        <v>28</v>
      </c>
      <c r="K7" cm="1">
        <f t="array" ref="K7">SUM((Table3[Concentration EFB 2 mm (Ct1)]-AVERAGE(Table3[Concentration EFB 2 mm (Ct1)]))^2)</f>
        <v>12216.417142857141</v>
      </c>
    </row>
    <row r="8" spans="1:11" x14ac:dyDescent="0.35">
      <c r="A8">
        <v>25</v>
      </c>
      <c r="B8">
        <v>121.6</v>
      </c>
      <c r="C8">
        <f>K2*(1-EXP(-K3*A8))</f>
        <v>121.89991876267639</v>
      </c>
      <c r="D8">
        <f t="shared" si="0"/>
        <v>-0.29991876267639839</v>
      </c>
      <c r="E8">
        <f t="shared" si="1"/>
        <v>8.9951264205341774E-2</v>
      </c>
      <c r="F8">
        <f>(K4*A8*K2^2)/(1+K4*A8*K2)</f>
        <v>120.43293758294715</v>
      </c>
      <c r="G8">
        <f t="shared" si="2"/>
        <v>1.167062417052847</v>
      </c>
      <c r="H8">
        <f t="shared" si="3"/>
        <v>1.3620346852972334</v>
      </c>
      <c r="J8" t="s">
        <v>29</v>
      </c>
      <c r="K8" cm="1">
        <f t="array" ref="K8">SUM((Table3[Concentration EFB 2 mm (Ct1)]-AVERAGE(Table3[Concentration EFB 2 mm (Ct1)]))^2)</f>
        <v>12216.417142857141</v>
      </c>
    </row>
    <row r="9" spans="1:11" x14ac:dyDescent="0.35">
      <c r="A9">
        <v>30</v>
      </c>
      <c r="B9">
        <v>121.9</v>
      </c>
      <c r="C9">
        <f>K2*(1-EXP(-K3*A9))</f>
        <v>121.89999527386648</v>
      </c>
      <c r="D9">
        <f t="shared" si="0"/>
        <v>4.7261335254233927E-6</v>
      </c>
      <c r="E9">
        <f t="shared" si="1"/>
        <v>2.2336338100130946E-11</v>
      </c>
      <c r="F9">
        <f>(K4*A9*K2^2)/(1+K4*A9*K2)</f>
        <v>120.67499082839771</v>
      </c>
      <c r="G9">
        <f t="shared" si="2"/>
        <v>1.2250091716022951</v>
      </c>
      <c r="H9">
        <f t="shared" si="3"/>
        <v>1.5006474705097412</v>
      </c>
      <c r="J9" t="s">
        <v>30</v>
      </c>
      <c r="K9">
        <f>1-(K5/K7)</f>
        <v>0.9967456106705529</v>
      </c>
    </row>
    <row r="10" spans="1:11" x14ac:dyDescent="0.35">
      <c r="J10" t="s">
        <v>31</v>
      </c>
      <c r="K10">
        <f>1-(K6/K8)</f>
        <v>0.99913966722372671</v>
      </c>
    </row>
    <row r="28" spans="1:11" x14ac:dyDescent="0.35">
      <c r="D28" s="6" t="s">
        <v>27</v>
      </c>
    </row>
    <row r="29" spans="1:11" x14ac:dyDescent="0.35">
      <c r="A29" t="s">
        <v>45</v>
      </c>
      <c r="B29" t="s">
        <v>47</v>
      </c>
      <c r="C29" t="s">
        <v>14</v>
      </c>
      <c r="D29" t="s">
        <v>2</v>
      </c>
      <c r="E29" t="s">
        <v>3</v>
      </c>
      <c r="F29" t="s">
        <v>15</v>
      </c>
      <c r="G29" t="s">
        <v>4</v>
      </c>
      <c r="H29" t="s">
        <v>5</v>
      </c>
      <c r="J29" t="s">
        <v>7</v>
      </c>
      <c r="K29">
        <v>8.6999999999999993</v>
      </c>
    </row>
    <row r="30" spans="1:11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 t="s">
        <v>8</v>
      </c>
      <c r="K30" s="8">
        <v>7.0598492996619591</v>
      </c>
    </row>
    <row r="31" spans="1:11" x14ac:dyDescent="0.35">
      <c r="A31">
        <v>5</v>
      </c>
      <c r="B31">
        <v>8</v>
      </c>
      <c r="C31">
        <f>K29*(1-EXP(-K30*A31))</f>
        <v>8.6999999999999957</v>
      </c>
      <c r="D31">
        <f>B31-C31</f>
        <v>-0.69999999999999574</v>
      </c>
      <c r="E31">
        <f>D31^2</f>
        <v>0.48999999999999405</v>
      </c>
      <c r="F31">
        <f>(K31*A31*K29^2)/(1+K31*A31*K29)</f>
        <v>7.9756222029455275</v>
      </c>
      <c r="G31">
        <f>B31-F31</f>
        <v>2.4377797054472516E-2</v>
      </c>
      <c r="H31">
        <f>G31^2</f>
        <v>5.9427698922904885E-4</v>
      </c>
      <c r="J31" t="s">
        <v>9</v>
      </c>
      <c r="K31">
        <v>0.25311051442336691</v>
      </c>
    </row>
    <row r="32" spans="1:11" x14ac:dyDescent="0.35">
      <c r="A32">
        <v>10</v>
      </c>
      <c r="B32">
        <v>8.1999999999999993</v>
      </c>
      <c r="C32">
        <f>K29*(1-EXP(-K30*A32))</f>
        <v>8.6999999999999993</v>
      </c>
      <c r="D32">
        <f t="shared" ref="D32:D36" si="4">B32-C32</f>
        <v>-0.5</v>
      </c>
      <c r="E32">
        <f t="shared" ref="E32:E36" si="5">D32^2</f>
        <v>0.25</v>
      </c>
      <c r="F32">
        <f>(K31*A32*K29^2)/(1+K31*A32*K29)</f>
        <v>8.3220778596638674</v>
      </c>
      <c r="G32">
        <f t="shared" ref="G32:G36" si="6">B32-F32</f>
        <v>-0.12207785966386808</v>
      </c>
      <c r="H32">
        <f t="shared" ref="H32:H36" si="7">G32^2</f>
        <v>1.4903003820111069E-2</v>
      </c>
      <c r="J32" t="s">
        <v>10</v>
      </c>
      <c r="K32">
        <f>SUM(E30:E36)</f>
        <v>0.86999999999999311</v>
      </c>
    </row>
    <row r="33" spans="1:11" x14ac:dyDescent="0.35">
      <c r="A33">
        <v>15</v>
      </c>
      <c r="B33">
        <v>8.4</v>
      </c>
      <c r="C33">
        <f>K29*(1-EXP(-K30*A33))</f>
        <v>8.6999999999999993</v>
      </c>
      <c r="D33">
        <f t="shared" si="4"/>
        <v>-0.29999999999999893</v>
      </c>
      <c r="E33">
        <f t="shared" si="5"/>
        <v>8.9999999999999358E-2</v>
      </c>
      <c r="F33">
        <f>(K31*A33*K29^2)/(1+K31*A33*K29)</f>
        <v>8.4443501540689798</v>
      </c>
      <c r="G33">
        <f t="shared" si="6"/>
        <v>-4.4350154068979464E-2</v>
      </c>
      <c r="H33">
        <f t="shared" si="7"/>
        <v>1.9669361659422156E-3</v>
      </c>
      <c r="J33" t="s">
        <v>11</v>
      </c>
      <c r="K33">
        <f>SUM(H30:H36)</f>
        <v>5.8432662851428147E-2</v>
      </c>
    </row>
    <row r="34" spans="1:11" x14ac:dyDescent="0.35">
      <c r="A34">
        <v>20</v>
      </c>
      <c r="B34">
        <v>8.5</v>
      </c>
      <c r="C34">
        <f>K29*(1-EXP(-K30*A34))</f>
        <v>8.6999999999999993</v>
      </c>
      <c r="D34">
        <f t="shared" si="4"/>
        <v>-0.19999999999999929</v>
      </c>
      <c r="E34">
        <f t="shared" si="5"/>
        <v>3.9999999999999716E-2</v>
      </c>
      <c r="F34">
        <f>(K31*A34*K29^2)/(1+K31*A34*K29)</f>
        <v>8.5068436387125477</v>
      </c>
      <c r="G34">
        <f t="shared" si="6"/>
        <v>-6.8436387125476728E-3</v>
      </c>
      <c r="H34">
        <f t="shared" si="7"/>
        <v>4.6835390827881168E-5</v>
      </c>
      <c r="J34" t="s">
        <v>28</v>
      </c>
      <c r="K34" cm="1">
        <f t="array" ref="K34">SUM((B30:B36-AVERAGE(B30:B36))^2)</f>
        <v>61.10857142857143</v>
      </c>
    </row>
    <row r="35" spans="1:11" x14ac:dyDescent="0.35">
      <c r="A35">
        <v>25</v>
      </c>
      <c r="B35">
        <v>8.6999999999999993</v>
      </c>
      <c r="C35">
        <f>K29*(1-EXP(-K30*A35))</f>
        <v>8.6999999999999993</v>
      </c>
      <c r="D35">
        <f t="shared" si="4"/>
        <v>0</v>
      </c>
      <c r="E35">
        <f t="shared" si="5"/>
        <v>0</v>
      </c>
      <c r="F35">
        <f>(K31*A35*K29^2)/(1+K31*A35*K29)</f>
        <v>8.5447857011034944</v>
      </c>
      <c r="G35">
        <f t="shared" si="6"/>
        <v>0.15521429889650484</v>
      </c>
      <c r="H35">
        <f t="shared" si="7"/>
        <v>2.4091478581933546E-2</v>
      </c>
      <c r="J35" t="s">
        <v>29</v>
      </c>
      <c r="K35" cm="1">
        <f t="array" ref="K35">SUM((B30:B36-AVERAGE(B30:B36))^2)</f>
        <v>61.10857142857143</v>
      </c>
    </row>
    <row r="36" spans="1:11" x14ac:dyDescent="0.35">
      <c r="A36">
        <v>30</v>
      </c>
      <c r="B36">
        <v>8.6999999999999993</v>
      </c>
      <c r="C36">
        <f>K29*(1-EXP(-K30*A36))</f>
        <v>8.6999999999999993</v>
      </c>
      <c r="D36">
        <f t="shared" si="4"/>
        <v>0</v>
      </c>
      <c r="E36">
        <f t="shared" si="5"/>
        <v>0</v>
      </c>
      <c r="F36">
        <f>(K31*A36*K29^2)/(1+K31*A36*K29)</f>
        <v>8.5702690017637089</v>
      </c>
      <c r="G36">
        <f t="shared" si="6"/>
        <v>0.12973099823629042</v>
      </c>
      <c r="H36">
        <f t="shared" si="7"/>
        <v>1.6830131903384386E-2</v>
      </c>
      <c r="J36" t="s">
        <v>30</v>
      </c>
      <c r="K36">
        <f>1-(K32/K34)</f>
        <v>0.98576304469796161</v>
      </c>
    </row>
    <row r="37" spans="1:11" x14ac:dyDescent="0.35">
      <c r="J37" t="s">
        <v>31</v>
      </c>
      <c r="K37">
        <f>1-(K33/K35)</f>
        <v>0.9990437894147185</v>
      </c>
    </row>
    <row r="55" spans="1:11" x14ac:dyDescent="0.35">
      <c r="D55" s="6" t="s">
        <v>37</v>
      </c>
    </row>
    <row r="56" spans="1:11" x14ac:dyDescent="0.35">
      <c r="A56" t="s">
        <v>49</v>
      </c>
      <c r="B56" t="s">
        <v>47</v>
      </c>
      <c r="C56" t="s">
        <v>14</v>
      </c>
      <c r="D56" t="s">
        <v>2</v>
      </c>
      <c r="E56" t="s">
        <v>3</v>
      </c>
      <c r="F56" t="s">
        <v>15</v>
      </c>
      <c r="G56" t="s">
        <v>4</v>
      </c>
      <c r="H56" t="s">
        <v>5</v>
      </c>
      <c r="J56" t="s">
        <v>7</v>
      </c>
      <c r="K56">
        <v>76.7</v>
      </c>
    </row>
    <row r="57" spans="1:11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J57" t="s">
        <v>8</v>
      </c>
      <c r="K57">
        <v>5.7725384885669584</v>
      </c>
    </row>
    <row r="58" spans="1:11" x14ac:dyDescent="0.35">
      <c r="A58">
        <v>5</v>
      </c>
      <c r="B58">
        <v>66.900000000000006</v>
      </c>
      <c r="C58">
        <f>K56*(1-EXP(-K57*A58))</f>
        <v>76.699999999977621</v>
      </c>
      <c r="D58">
        <f>B58-C58</f>
        <v>-9.7999999999776151</v>
      </c>
      <c r="E58">
        <f>D58^2</f>
        <v>96.03999999956126</v>
      </c>
      <c r="F58">
        <f>(K58*A58*K56^2)/(1+K58*A58*K56)</f>
        <v>63.50926444140871</v>
      </c>
      <c r="G58">
        <f>B58-F58</f>
        <v>3.3907355585912953</v>
      </c>
      <c r="H58">
        <f>G58^2</f>
        <v>11.497087628295423</v>
      </c>
      <c r="J58" t="s">
        <v>9</v>
      </c>
      <c r="K58">
        <v>1.255459480621543E-2</v>
      </c>
    </row>
    <row r="59" spans="1:11" x14ac:dyDescent="0.35">
      <c r="A59">
        <v>10</v>
      </c>
      <c r="B59">
        <v>67.7</v>
      </c>
      <c r="C59">
        <f>K56*(1-EXP(-K57*A59))</f>
        <v>76.7</v>
      </c>
      <c r="D59">
        <f t="shared" ref="D59:D63" si="8">B59-C59</f>
        <v>-9</v>
      </c>
      <c r="E59">
        <f t="shared" ref="E59:E63" si="9">D59^2</f>
        <v>81</v>
      </c>
      <c r="F59">
        <f>(K58*A59*K56^2)/(1+K58*A59*K56)</f>
        <v>69.484147171910038</v>
      </c>
      <c r="G59">
        <f t="shared" ref="G59:G63" si="10">B59-F59</f>
        <v>-1.7841471719100355</v>
      </c>
      <c r="H59">
        <f t="shared" ref="H59:H63" si="11">G59^2</f>
        <v>3.1831811310345777</v>
      </c>
      <c r="J59" t="s">
        <v>10</v>
      </c>
      <c r="K59">
        <f>SUM(E57:E63)</f>
        <v>317.84999999956148</v>
      </c>
    </row>
    <row r="60" spans="1:11" x14ac:dyDescent="0.35">
      <c r="A60">
        <v>15</v>
      </c>
      <c r="B60">
        <v>69.3</v>
      </c>
      <c r="C60">
        <f>K56*(1-EXP(-K57*A60))</f>
        <v>76.7</v>
      </c>
      <c r="D60">
        <f t="shared" si="8"/>
        <v>-7.4000000000000057</v>
      </c>
      <c r="E60">
        <f t="shared" si="9"/>
        <v>54.760000000000083</v>
      </c>
      <c r="F60">
        <f>(K58*A60*K56^2)/(1+K58*A60*K56)</f>
        <v>71.733689753739014</v>
      </c>
      <c r="G60">
        <f t="shared" si="10"/>
        <v>-2.4336897537390172</v>
      </c>
      <c r="H60">
        <f t="shared" si="11"/>
        <v>5.9228458174542782</v>
      </c>
      <c r="J60" t="s">
        <v>11</v>
      </c>
      <c r="K60">
        <f>SUM(H57:H63)</f>
        <v>46.751356146944552</v>
      </c>
    </row>
    <row r="61" spans="1:11" x14ac:dyDescent="0.35">
      <c r="A61">
        <v>20</v>
      </c>
      <c r="B61">
        <v>69.8</v>
      </c>
      <c r="C61">
        <f>K56*(1-EXP(-K57*A61))</f>
        <v>76.7</v>
      </c>
      <c r="D61">
        <f t="shared" si="8"/>
        <v>-6.9000000000000057</v>
      </c>
      <c r="E61">
        <f t="shared" si="9"/>
        <v>47.610000000000078</v>
      </c>
      <c r="F61">
        <f>(K58*A61*K56^2)/(1+K58*A61*K56)</f>
        <v>72.913981319987826</v>
      </c>
      <c r="G61">
        <f t="shared" si="10"/>
        <v>-3.113981319987829</v>
      </c>
      <c r="H61">
        <f t="shared" si="11"/>
        <v>9.696879661233142</v>
      </c>
      <c r="J61" t="s">
        <v>28</v>
      </c>
      <c r="K61" cm="1">
        <f t="array" ref="K61">SUM((B57:B63-AVERAGE(B57:B63))^2)</f>
        <v>4278.454285714286</v>
      </c>
    </row>
    <row r="62" spans="1:11" x14ac:dyDescent="0.35">
      <c r="A62">
        <v>25</v>
      </c>
      <c r="B62">
        <v>70.5</v>
      </c>
      <c r="C62">
        <f>K56*(1-EXP(-K57*A62))</f>
        <v>76.7</v>
      </c>
      <c r="D62">
        <f t="shared" si="8"/>
        <v>-6.2000000000000028</v>
      </c>
      <c r="E62">
        <f t="shared" si="9"/>
        <v>38.440000000000033</v>
      </c>
      <c r="F62">
        <f>(K58*A62*K56^2)/(1+K58*A62*K56)</f>
        <v>73.640985615041416</v>
      </c>
      <c r="G62">
        <f t="shared" si="10"/>
        <v>-3.1409856150414157</v>
      </c>
      <c r="H62">
        <f t="shared" si="11"/>
        <v>9.8657906338971006</v>
      </c>
      <c r="J62" t="s">
        <v>29</v>
      </c>
      <c r="K62" cm="1">
        <f t="array" ref="K62">SUM((B57:B63-AVERAGE(B57:B63))^2)</f>
        <v>4278.454285714286</v>
      </c>
    </row>
    <row r="63" spans="1:11" x14ac:dyDescent="0.35">
      <c r="A63">
        <v>30</v>
      </c>
      <c r="B63">
        <v>76.7</v>
      </c>
      <c r="C63">
        <f>K56*(1-EXP(-K57*A63))</f>
        <v>76.7</v>
      </c>
      <c r="D63">
        <f t="shared" si="8"/>
        <v>0</v>
      </c>
      <c r="E63">
        <f t="shared" si="9"/>
        <v>0</v>
      </c>
      <c r="F63">
        <f>(K58*A63*K56^2)/(1+K58*A63*K56)</f>
        <v>74.133763207529356</v>
      </c>
      <c r="G63">
        <f t="shared" si="10"/>
        <v>2.5662367924706473</v>
      </c>
      <c r="H63">
        <f t="shared" si="11"/>
        <v>6.5855712750300359</v>
      </c>
      <c r="J63" t="s">
        <v>30</v>
      </c>
      <c r="K63">
        <f>1-(K59/K61)</f>
        <v>0.92570915130240861</v>
      </c>
    </row>
    <row r="64" spans="1:11" x14ac:dyDescent="0.35">
      <c r="J64" t="s">
        <v>31</v>
      </c>
      <c r="K64" s="8">
        <f>1-(K60/K62)</f>
        <v>0.98907283962270043</v>
      </c>
    </row>
    <row r="82" spans="1:11" x14ac:dyDescent="0.35">
      <c r="D82" s="6" t="s">
        <v>38</v>
      </c>
    </row>
    <row r="83" spans="1:11" x14ac:dyDescent="0.35">
      <c r="A83" t="s">
        <v>45</v>
      </c>
      <c r="B83" t="s">
        <v>47</v>
      </c>
      <c r="C83" t="s">
        <v>14</v>
      </c>
      <c r="D83" t="s">
        <v>2</v>
      </c>
      <c r="E83" t="s">
        <v>3</v>
      </c>
      <c r="F83" t="s">
        <v>15</v>
      </c>
      <c r="G83" t="s">
        <v>4</v>
      </c>
      <c r="H83" t="s">
        <v>5</v>
      </c>
      <c r="J83" t="s">
        <v>7</v>
      </c>
      <c r="K83">
        <v>5.6</v>
      </c>
    </row>
    <row r="84" spans="1:11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J84" t="s">
        <v>8</v>
      </c>
      <c r="K84">
        <v>6.3002856432750054</v>
      </c>
    </row>
    <row r="85" spans="1:11" x14ac:dyDescent="0.35">
      <c r="A85">
        <v>5</v>
      </c>
      <c r="B85">
        <v>4.7</v>
      </c>
      <c r="C85">
        <f>K83*(1-EXP(-K84*A85))</f>
        <v>5.5999999999998824</v>
      </c>
      <c r="D85">
        <f>B85-C85</f>
        <v>-0.89999999999988223</v>
      </c>
      <c r="E85">
        <f>D85^2</f>
        <v>0.809999999999788</v>
      </c>
      <c r="F85">
        <f>(K85*A85*K83^2)/(1+K85*A85*K83)</f>
        <v>4.6843229523732814</v>
      </c>
      <c r="G85">
        <f>B85-F85</f>
        <v>1.5677047626718732E-2</v>
      </c>
      <c r="H85">
        <f>G85^2</f>
        <v>2.4576982229040743E-4</v>
      </c>
      <c r="J85" t="s">
        <v>9</v>
      </c>
      <c r="K85">
        <v>0.18270333272265837</v>
      </c>
    </row>
    <row r="86" spans="1:11" x14ac:dyDescent="0.35">
      <c r="A86">
        <v>10</v>
      </c>
      <c r="B86">
        <v>5</v>
      </c>
      <c r="C86">
        <f>K83*(1-EXP(-K84*A86))</f>
        <v>5.6</v>
      </c>
      <c r="D86">
        <f t="shared" ref="D86:D90" si="12">B86-C86</f>
        <v>-0.59999999999999964</v>
      </c>
      <c r="E86">
        <f t="shared" ref="E86:E90" si="13">D86^2</f>
        <v>0.3599999999999996</v>
      </c>
      <c r="F86">
        <f>(K85*A86*K83^2)/(1+K85*A86*K83)</f>
        <v>5.1013972732617949</v>
      </c>
      <c r="G86">
        <f t="shared" ref="G86:G90" si="14">B86-F86</f>
        <v>-0.10139727326179493</v>
      </c>
      <c r="H86">
        <f t="shared" ref="H86:H90" si="15">G86^2</f>
        <v>1.0281407024927114E-2</v>
      </c>
      <c r="J86" t="s">
        <v>10</v>
      </c>
      <c r="K86">
        <f>SUM(E84:E90)</f>
        <v>1.4399999999997877</v>
      </c>
    </row>
    <row r="87" spans="1:11" x14ac:dyDescent="0.35">
      <c r="A87">
        <v>25</v>
      </c>
      <c r="B87">
        <v>5.0999999999999996</v>
      </c>
      <c r="C87">
        <f>K83*(1-EXP(-K84*A87))</f>
        <v>5.6</v>
      </c>
      <c r="D87">
        <f t="shared" si="12"/>
        <v>-0.5</v>
      </c>
      <c r="E87">
        <f t="shared" si="13"/>
        <v>0.25</v>
      </c>
      <c r="F87">
        <f>(K85*A87*K83^2)/(1+K85*A87*K83)</f>
        <v>5.3893031193918839</v>
      </c>
      <c r="G87">
        <f t="shared" si="14"/>
        <v>-0.28930311939188424</v>
      </c>
      <c r="H87">
        <f t="shared" si="15"/>
        <v>8.3696294889874831E-2</v>
      </c>
      <c r="J87" t="s">
        <v>11</v>
      </c>
      <c r="K87">
        <f>SUM(H84:H90)</f>
        <v>0.16359041354770887</v>
      </c>
    </row>
    <row r="88" spans="1:11" x14ac:dyDescent="0.35">
      <c r="A88">
        <v>20</v>
      </c>
      <c r="B88">
        <v>5.5</v>
      </c>
      <c r="C88">
        <f>K83*(1-EXP(-K84*A88))</f>
        <v>5.6</v>
      </c>
      <c r="D88">
        <f t="shared" si="12"/>
        <v>-9.9999999999999645E-2</v>
      </c>
      <c r="E88">
        <f t="shared" si="13"/>
        <v>9.9999999999999291E-3</v>
      </c>
      <c r="F88">
        <f>(K85*A88*K83^2)/(1+K85*A88*K83)</f>
        <v>5.3390831123791287</v>
      </c>
      <c r="G88">
        <f t="shared" si="14"/>
        <v>0.16091688762087131</v>
      </c>
      <c r="H88">
        <f t="shared" si="15"/>
        <v>2.5894244721588126E-2</v>
      </c>
      <c r="J88" t="s">
        <v>28</v>
      </c>
      <c r="K88" cm="1">
        <f t="array" ref="K88">SUM((B84:B90-AVERAGE(B84:B90))^2)</f>
        <v>24.10857142857143</v>
      </c>
    </row>
    <row r="89" spans="1:11" x14ac:dyDescent="0.35">
      <c r="A89">
        <v>25</v>
      </c>
      <c r="B89">
        <v>5.5</v>
      </c>
      <c r="C89">
        <f>K83*(1-EXP(-K84*A89))</f>
        <v>5.6</v>
      </c>
      <c r="D89">
        <f t="shared" si="12"/>
        <v>-9.9999999999999645E-2</v>
      </c>
      <c r="E89">
        <f t="shared" si="13"/>
        <v>9.9999999999999291E-3</v>
      </c>
      <c r="F89">
        <f>(K85*A89*K83^2)/(1+K85*A89*K83)</f>
        <v>5.3893031193918839</v>
      </c>
      <c r="G89">
        <f t="shared" si="14"/>
        <v>0.11069688060811611</v>
      </c>
      <c r="H89">
        <f t="shared" si="15"/>
        <v>1.2253799376367513E-2</v>
      </c>
      <c r="J89" t="s">
        <v>29</v>
      </c>
      <c r="K89" cm="1">
        <f t="array" ref="K89">SUM((B84:B90-AVERAGE(B84:B90))^2)</f>
        <v>24.10857142857143</v>
      </c>
    </row>
    <row r="90" spans="1:11" x14ac:dyDescent="0.35">
      <c r="A90">
        <v>30</v>
      </c>
      <c r="B90">
        <v>5.6</v>
      </c>
      <c r="C90">
        <f>K83*(1-EXP(-K84*A90))</f>
        <v>5.6</v>
      </c>
      <c r="D90">
        <f t="shared" si="12"/>
        <v>0</v>
      </c>
      <c r="E90">
        <f t="shared" si="13"/>
        <v>0</v>
      </c>
      <c r="F90">
        <f>(K85*A90*K83^2)/(1+K85*A90*K83)</f>
        <v>5.4233112971560971</v>
      </c>
      <c r="G90">
        <f t="shared" si="14"/>
        <v>0.17668870284390259</v>
      </c>
      <c r="H90">
        <f t="shared" si="15"/>
        <v>3.1218897712660912E-2</v>
      </c>
      <c r="J90" t="s">
        <v>30</v>
      </c>
      <c r="K90">
        <f>1-(K86/K88)</f>
        <v>0.94027020621001123</v>
      </c>
    </row>
    <row r="91" spans="1:11" x14ac:dyDescent="0.35">
      <c r="J91" t="s">
        <v>31</v>
      </c>
      <c r="K91">
        <f>1-(K87/K89)</f>
        <v>0.99321442939776039</v>
      </c>
    </row>
    <row r="109" spans="1:11" x14ac:dyDescent="0.35">
      <c r="D109" s="6" t="s">
        <v>39</v>
      </c>
    </row>
    <row r="111" spans="1:11" x14ac:dyDescent="0.35">
      <c r="A111" t="s">
        <v>45</v>
      </c>
      <c r="B111" t="s">
        <v>47</v>
      </c>
      <c r="C111" t="s">
        <v>14</v>
      </c>
      <c r="D111" t="s">
        <v>2</v>
      </c>
      <c r="E111" t="s">
        <v>3</v>
      </c>
      <c r="F111" t="s">
        <v>40</v>
      </c>
      <c r="G111" t="s">
        <v>4</v>
      </c>
      <c r="H111" t="s">
        <v>5</v>
      </c>
      <c r="J111" t="s">
        <v>7</v>
      </c>
      <c r="K111">
        <v>17.2</v>
      </c>
    </row>
    <row r="112" spans="1:11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J112" t="s">
        <v>8</v>
      </c>
      <c r="K112">
        <v>0.30714021516927076</v>
      </c>
    </row>
    <row r="113" spans="1:11" x14ac:dyDescent="0.35">
      <c r="A113">
        <v>5</v>
      </c>
      <c r="B113">
        <v>14.2</v>
      </c>
      <c r="C113">
        <f>K111*(1-EXP(-K112*A113))</f>
        <v>13.496759274803825</v>
      </c>
      <c r="D113">
        <f>B113-C113</f>
        <v>0.70324072519617431</v>
      </c>
      <c r="E113">
        <f>D113^2</f>
        <v>0.49454751757444115</v>
      </c>
      <c r="F113">
        <f>(K113*A113*K111^2)/(1+K113*A113*K111)</f>
        <v>14.200070657852393</v>
      </c>
      <c r="G113">
        <f>B113-F113</f>
        <v>-7.0657852393907206E-5</v>
      </c>
      <c r="H113">
        <f>G113^2</f>
        <v>4.9925321049191779E-9</v>
      </c>
      <c r="J113" t="s">
        <v>9</v>
      </c>
      <c r="K113" s="8">
        <v>5.5040329901402708E-2</v>
      </c>
    </row>
    <row r="114" spans="1:11" x14ac:dyDescent="0.35">
      <c r="A114">
        <v>10</v>
      </c>
      <c r="B114">
        <v>15.2</v>
      </c>
      <c r="C114">
        <f>K111*(1-EXP(-K112*A114))</f>
        <v>16.402674891351655</v>
      </c>
      <c r="D114">
        <f t="shared" ref="D114:D118" si="16">B114-C114</f>
        <v>-1.2026748913516556</v>
      </c>
      <c r="E114">
        <f t="shared" ref="E114:E118" si="17">D114^2</f>
        <v>1.4464268942877165</v>
      </c>
      <c r="F114">
        <f>(K113*A114*K111^2)/(1+K113*A114*K111)</f>
        <v>15.55673030015825</v>
      </c>
      <c r="G114">
        <f t="shared" ref="G114:G118" si="18">B114-F114</f>
        <v>-0.35673030015825091</v>
      </c>
      <c r="H114">
        <f t="shared" ref="H114:H118" si="19">G114^2</f>
        <v>0.12725650705099578</v>
      </c>
      <c r="J114" t="s">
        <v>10</v>
      </c>
      <c r="K114">
        <f>SUM(E112:E118)</f>
        <v>4.1285598571213473</v>
      </c>
    </row>
    <row r="115" spans="1:11" x14ac:dyDescent="0.35">
      <c r="A115">
        <v>15</v>
      </c>
      <c r="B115">
        <v>16</v>
      </c>
      <c r="C115">
        <f>K111*(1-EXP(-K112*A115))</f>
        <v>17.02833216200186</v>
      </c>
      <c r="D115">
        <f t="shared" si="16"/>
        <v>-1.0283321620018597</v>
      </c>
      <c r="E115">
        <f t="shared" si="17"/>
        <v>1.0574670354074192</v>
      </c>
      <c r="F115">
        <f>(K113*A115*K111^2)/(1+K113*A115*K111)</f>
        <v>16.068451210979731</v>
      </c>
      <c r="G115">
        <f t="shared" si="18"/>
        <v>-6.8451210979731059E-2</v>
      </c>
      <c r="H115">
        <f t="shared" si="19"/>
        <v>4.6855682845916543E-3</v>
      </c>
      <c r="J115" t="s">
        <v>11</v>
      </c>
      <c r="K115">
        <f>SUM(H112:H118)</f>
        <v>1.0166236768838113</v>
      </c>
    </row>
    <row r="116" spans="1:11" x14ac:dyDescent="0.35">
      <c r="A116">
        <v>20</v>
      </c>
      <c r="B116">
        <v>16.100000000000001</v>
      </c>
      <c r="C116">
        <f>K111*(1-EXP(-K112*A116))</f>
        <v>17.163039108785984</v>
      </c>
      <c r="D116">
        <f t="shared" si="16"/>
        <v>-1.0630391087859827</v>
      </c>
      <c r="E116">
        <f t="shared" si="17"/>
        <v>1.1300521468084965</v>
      </c>
      <c r="F116">
        <f>(K113*A116*K111^2)/(1+K113*A116*K111)</f>
        <v>16.337147127375484</v>
      </c>
      <c r="G116">
        <f t="shared" si="18"/>
        <v>-0.23714712737548282</v>
      </c>
      <c r="H116">
        <f t="shared" si="19"/>
        <v>5.6238760022443476E-2</v>
      </c>
      <c r="J116" t="s">
        <v>28</v>
      </c>
      <c r="K116" cm="1">
        <f t="array" ref="K116">SUM((B112:B118-AVERAGE(B112:B118))^2)</f>
        <v>225.74</v>
      </c>
    </row>
    <row r="117" spans="1:11" x14ac:dyDescent="0.35">
      <c r="A117">
        <v>25</v>
      </c>
      <c r="B117">
        <v>17.2</v>
      </c>
      <c r="C117">
        <f>K111*(1-EXP(-K112*A117))</f>
        <v>17.192042146652135</v>
      </c>
      <c r="D117">
        <f t="shared" si="16"/>
        <v>7.9578533478645852E-3</v>
      </c>
      <c r="E117">
        <f t="shared" si="17"/>
        <v>6.3327429906119586E-5</v>
      </c>
      <c r="F117">
        <f>(K113*A117*K111^2)/(1+K113*A117*K111)</f>
        <v>16.502721789024118</v>
      </c>
      <c r="G117">
        <f t="shared" si="18"/>
        <v>0.69727821097588105</v>
      </c>
      <c r="H117">
        <f t="shared" si="19"/>
        <v>0.48619690350172529</v>
      </c>
      <c r="J117" t="s">
        <v>29</v>
      </c>
      <c r="K117" cm="1">
        <f t="array" ref="K117">SUM((B112:B118-AVERAGE(B112:B118))^2)</f>
        <v>225.74</v>
      </c>
    </row>
    <row r="118" spans="1:11" x14ac:dyDescent="0.35">
      <c r="A118">
        <v>30</v>
      </c>
      <c r="B118">
        <v>17.2</v>
      </c>
      <c r="C118">
        <f>K111*(1-EXP(-K112*A118))</f>
        <v>17.198286636825408</v>
      </c>
      <c r="D118">
        <f t="shared" si="16"/>
        <v>1.7133631745913647E-3</v>
      </c>
      <c r="E118">
        <f t="shared" si="17"/>
        <v>2.9356133680457992E-6</v>
      </c>
      <c r="F118">
        <f>(K113*A118*K111^2)/(1+K113*A118*K111)</f>
        <v>16.614982108793651</v>
      </c>
      <c r="G118">
        <f t="shared" si="18"/>
        <v>0.58501789120634839</v>
      </c>
      <c r="H118">
        <f t="shared" si="19"/>
        <v>0.3422459330315229</v>
      </c>
      <c r="J118" t="s">
        <v>30</v>
      </c>
      <c r="K118">
        <f>1-(K114/K116)</f>
        <v>0.981710995582877</v>
      </c>
    </row>
    <row r="119" spans="1:11" x14ac:dyDescent="0.35">
      <c r="J119" t="s">
        <v>31</v>
      </c>
      <c r="K119">
        <f>1-(K115/K117)</f>
        <v>0.9954964841105528</v>
      </c>
    </row>
    <row r="137" spans="1:11" x14ac:dyDescent="0.35">
      <c r="D137" t="s">
        <v>41</v>
      </c>
    </row>
    <row r="138" spans="1:11" x14ac:dyDescent="0.35">
      <c r="A138" t="s">
        <v>45</v>
      </c>
      <c r="B138" t="s">
        <v>47</v>
      </c>
      <c r="C138" t="s">
        <v>14</v>
      </c>
      <c r="D138" t="s">
        <v>2</v>
      </c>
      <c r="E138" t="s">
        <v>3</v>
      </c>
      <c r="F138" t="s">
        <v>15</v>
      </c>
      <c r="G138" t="s">
        <v>4</v>
      </c>
      <c r="H138" t="s">
        <v>5</v>
      </c>
      <c r="J138" t="s">
        <v>7</v>
      </c>
      <c r="K138">
        <v>23.9</v>
      </c>
    </row>
    <row r="139" spans="1:11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J139" t="s">
        <v>8</v>
      </c>
      <c r="K139">
        <v>0.31200172142604943</v>
      </c>
    </row>
    <row r="140" spans="1:11" x14ac:dyDescent="0.35">
      <c r="A140">
        <v>5</v>
      </c>
      <c r="B140">
        <v>20.100000000000001</v>
      </c>
      <c r="C140">
        <f>K138*(1-EXP(-K139*A140))</f>
        <v>18.877791125293665</v>
      </c>
      <c r="D140">
        <f>B140-C140</f>
        <v>1.222208874706336</v>
      </c>
      <c r="E140">
        <f>D140^2</f>
        <v>1.4937945334109282</v>
      </c>
      <c r="F140">
        <f>(K140*A140*K138^2)/(1+K140*A140*K138)</f>
        <v>19.139478418563883</v>
      </c>
      <c r="G140">
        <f>B140-F140</f>
        <v>0.96052158143611877</v>
      </c>
      <c r="H140">
        <f>G140^2</f>
        <v>0.92260170840454259</v>
      </c>
      <c r="J140" t="s">
        <v>9</v>
      </c>
      <c r="K140">
        <v>3.3644002359550181E-2</v>
      </c>
    </row>
    <row r="141" spans="1:11" x14ac:dyDescent="0.35">
      <c r="A141">
        <v>10</v>
      </c>
      <c r="B141">
        <v>21</v>
      </c>
      <c r="C141">
        <f>K138*(1-EXP(-K139*A141))</f>
        <v>22.84466184179167</v>
      </c>
      <c r="D141">
        <f t="shared" ref="D141:D145" si="20">B141-C141</f>
        <v>-1.8446618417916696</v>
      </c>
      <c r="E141">
        <f t="shared" ref="E141:E145" si="21">D141^2</f>
        <v>3.4027773105622345</v>
      </c>
      <c r="F141">
        <f>(K140*A141*K138^2)/(1+K140*A141*K138)</f>
        <v>21.256462718022878</v>
      </c>
      <c r="G141">
        <f t="shared" ref="G141:G145" si="22">B141-F141</f>
        <v>-0.25646271802287757</v>
      </c>
      <c r="H141">
        <f t="shared" ref="H141:H145" si="23">G141^2</f>
        <v>6.5773125735682003E-2</v>
      </c>
      <c r="J141" t="s">
        <v>10</v>
      </c>
      <c r="K141">
        <f>SUM(E139:E145)</f>
        <v>21.476250297962334</v>
      </c>
    </row>
    <row r="142" spans="1:11" x14ac:dyDescent="0.35">
      <c r="A142">
        <v>15</v>
      </c>
      <c r="B142">
        <v>21.2</v>
      </c>
      <c r="C142">
        <f>K138*(1-EXP(-K139*A142))</f>
        <v>23.678237294394552</v>
      </c>
      <c r="D142">
        <f t="shared" si="20"/>
        <v>-2.4782372943945532</v>
      </c>
      <c r="E142">
        <f t="shared" si="21"/>
        <v>6.1416600873280354</v>
      </c>
      <c r="F142">
        <f>(K140*A142*K138^2)/(1+K140*A142*K138)</f>
        <v>22.070177314258416</v>
      </c>
      <c r="G142">
        <f t="shared" si="22"/>
        <v>-0.8701773142584166</v>
      </c>
      <c r="H142">
        <f t="shared" si="23"/>
        <v>0.75720855824999111</v>
      </c>
      <c r="J142" t="s">
        <v>11</v>
      </c>
      <c r="K142">
        <f>SUM(H139:H145)</f>
        <v>4.9349658767568991</v>
      </c>
    </row>
    <row r="143" spans="1:11" x14ac:dyDescent="0.35">
      <c r="A143">
        <v>20</v>
      </c>
      <c r="B143">
        <v>21.1</v>
      </c>
      <c r="C143">
        <f>K138*(1-EXP(-K139*A143))</f>
        <v>23.853400057398719</v>
      </c>
      <c r="D143">
        <f t="shared" si="20"/>
        <v>-2.7534000573987178</v>
      </c>
      <c r="E143">
        <f t="shared" si="21"/>
        <v>7.5812118760832625</v>
      </c>
      <c r="F143">
        <f>(K140*A143*K138^2)/(1+K140*A143*K138)</f>
        <v>22.500852740973517</v>
      </c>
      <c r="G143">
        <f t="shared" si="22"/>
        <v>-1.4008527409735159</v>
      </c>
      <c r="H143">
        <f t="shared" si="23"/>
        <v>1.9623884018930122</v>
      </c>
      <c r="J143" t="s">
        <v>28</v>
      </c>
      <c r="K143" cm="1">
        <f t="array" ref="K143">SUM((B139:B145-AVERAGE(B139:B145))^2)</f>
        <v>407.96</v>
      </c>
    </row>
    <row r="144" spans="1:11" x14ac:dyDescent="0.35">
      <c r="A144">
        <v>25</v>
      </c>
      <c r="B144">
        <v>22.2</v>
      </c>
      <c r="C144">
        <f>K138*(1-EXP(-K139*A144))</f>
        <v>23.89020775542707</v>
      </c>
      <c r="D144">
        <f t="shared" si="20"/>
        <v>-1.6902077554270711</v>
      </c>
      <c r="E144">
        <f t="shared" si="21"/>
        <v>2.856802256505818</v>
      </c>
      <c r="F144">
        <f>(K140*A144*K138^2)/(1+K140*A144*K138)</f>
        <v>22.767421573523272</v>
      </c>
      <c r="G144">
        <f t="shared" si="22"/>
        <v>-0.56742157352327283</v>
      </c>
      <c r="H144">
        <f t="shared" si="23"/>
        <v>0.3219672420996269</v>
      </c>
      <c r="J144" t="s">
        <v>29</v>
      </c>
      <c r="K144" cm="1">
        <f t="array" ref="K144">SUM((B139:B145-AVERAGE(B139:B145))^2)</f>
        <v>407.96</v>
      </c>
    </row>
    <row r="145" spans="1:11" x14ac:dyDescent="0.35">
      <c r="A145">
        <v>30</v>
      </c>
      <c r="B145">
        <v>23.9</v>
      </c>
      <c r="C145">
        <f>K138*(1-EXP(-K139*A145))</f>
        <v>23.897942313908054</v>
      </c>
      <c r="D145">
        <f t="shared" si="20"/>
        <v>2.0576860919447881E-3</v>
      </c>
      <c r="E145">
        <f t="shared" si="21"/>
        <v>4.2340720529830153E-6</v>
      </c>
      <c r="F145">
        <f>(K140*A145*K138^2)/(1+K140*A145*K138)</f>
        <v>22.948671013595167</v>
      </c>
      <c r="G145">
        <f t="shared" si="22"/>
        <v>0.95132898640483177</v>
      </c>
      <c r="H145">
        <f t="shared" si="23"/>
        <v>0.90502684037404457</v>
      </c>
      <c r="J145" t="s">
        <v>30</v>
      </c>
      <c r="K145">
        <f>1-(K141/K143)</f>
        <v>0.94735697054132184</v>
      </c>
    </row>
    <row r="146" spans="1:11" x14ac:dyDescent="0.35">
      <c r="J146" t="s">
        <v>31</v>
      </c>
      <c r="K146">
        <f>1-(K142/K144)</f>
        <v>0.98790330945005167</v>
      </c>
    </row>
    <row r="164" spans="1:11" x14ac:dyDescent="0.35">
      <c r="D164" s="6" t="s">
        <v>42</v>
      </c>
    </row>
    <row r="165" spans="1:11" x14ac:dyDescent="0.35">
      <c r="A165" t="s">
        <v>45</v>
      </c>
      <c r="B165" t="s">
        <v>47</v>
      </c>
      <c r="C165" t="s">
        <v>14</v>
      </c>
      <c r="D165" t="s">
        <v>2</v>
      </c>
      <c r="E165" t="s">
        <v>3</v>
      </c>
      <c r="F165" t="s">
        <v>15</v>
      </c>
      <c r="G165" t="s">
        <v>4</v>
      </c>
      <c r="H165" t="s">
        <v>5</v>
      </c>
      <c r="J165" t="s">
        <v>7</v>
      </c>
      <c r="K165">
        <v>8.59</v>
      </c>
    </row>
    <row r="166" spans="1:11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J166" t="s">
        <v>8</v>
      </c>
      <c r="K166">
        <v>0.2174195718978762</v>
      </c>
    </row>
    <row r="167" spans="1:11" x14ac:dyDescent="0.35">
      <c r="A167">
        <v>5</v>
      </c>
      <c r="B167">
        <v>6.49</v>
      </c>
      <c r="C167">
        <f>K165*(1-EXP(-K166*A167))</f>
        <v>5.6935064738085979</v>
      </c>
      <c r="D167">
        <f>B167-C167</f>
        <v>0.79649352619140235</v>
      </c>
      <c r="E167">
        <f>D167^2</f>
        <v>0.63440193726481409</v>
      </c>
      <c r="F167">
        <f>(K167*A167*K165^2)/(1+K167*A167*K165)</f>
        <v>6.332490828733838</v>
      </c>
      <c r="G167">
        <f>B167-F167</f>
        <v>0.15750917126616226</v>
      </c>
      <c r="H167">
        <f>G167^2</f>
        <v>2.4809139032953235E-2</v>
      </c>
      <c r="J167" t="s">
        <v>9</v>
      </c>
      <c r="K167" s="8">
        <v>6.5310329970961922E-2</v>
      </c>
    </row>
    <row r="168" spans="1:11" x14ac:dyDescent="0.35">
      <c r="A168">
        <v>10</v>
      </c>
      <c r="B168">
        <v>6.89</v>
      </c>
      <c r="C168">
        <f>K165*(1-EXP(-K166*A168))</f>
        <v>7.613320751191071</v>
      </c>
      <c r="D168">
        <f t="shared" ref="D168:D172" si="24">B168-C168</f>
        <v>-0.72332075119107131</v>
      </c>
      <c r="E168">
        <f t="shared" ref="E168:E172" si="25">D168^2</f>
        <v>0.52319290910361571</v>
      </c>
      <c r="F168">
        <f>(K167*A168*K165^2)/(1+K167*A168*K165)</f>
        <v>7.2904847914641522</v>
      </c>
      <c r="G168">
        <f t="shared" ref="G168:G172" si="26">B168-F168</f>
        <v>-0.4004847914641525</v>
      </c>
      <c r="H168">
        <f t="shared" ref="H168:H172" si="27">G168^2</f>
        <v>0.16038806819408571</v>
      </c>
      <c r="J168" t="s">
        <v>10</v>
      </c>
      <c r="K168">
        <f>SUM(E166:E172)</f>
        <v>2.2929188688212809</v>
      </c>
    </row>
    <row r="169" spans="1:11" x14ac:dyDescent="0.35">
      <c r="A169">
        <v>15</v>
      </c>
      <c r="B169">
        <v>7.79</v>
      </c>
      <c r="C169">
        <f>K165*(1-EXP(-K166*A169))</f>
        <v>8.2606699509498789</v>
      </c>
      <c r="D169">
        <f t="shared" si="24"/>
        <v>-0.47066995094987885</v>
      </c>
      <c r="E169">
        <f t="shared" si="25"/>
        <v>0.22153020272716137</v>
      </c>
      <c r="F169">
        <f>(K167*A169*K165^2)/(1+K167*A169*K165)</f>
        <v>7.6776489994822841</v>
      </c>
      <c r="G169">
        <f t="shared" si="26"/>
        <v>0.11235100051771596</v>
      </c>
      <c r="H169">
        <f t="shared" si="27"/>
        <v>1.2622747317331812E-2</v>
      </c>
      <c r="J169" t="s">
        <v>11</v>
      </c>
      <c r="K169">
        <f>SUM(H166:H172)</f>
        <v>0.45579639040456066</v>
      </c>
    </row>
    <row r="170" spans="1:11" x14ac:dyDescent="0.35">
      <c r="A170">
        <v>20</v>
      </c>
      <c r="B170">
        <v>7.79</v>
      </c>
      <c r="C170">
        <f>K165*(1-EXP(-K166*A170))</f>
        <v>8.4789519959192106</v>
      </c>
      <c r="D170">
        <f t="shared" si="24"/>
        <v>-0.68895199591921052</v>
      </c>
      <c r="E170">
        <f t="shared" si="25"/>
        <v>0.47465485268106389</v>
      </c>
      <c r="F170">
        <f>(K167*A170*K165^2)/(1+K167*A170*K165)</f>
        <v>7.8870721115942866</v>
      </c>
      <c r="G170">
        <f t="shared" si="26"/>
        <v>-9.7072111594286525E-2</v>
      </c>
      <c r="H170">
        <f t="shared" si="27"/>
        <v>9.4229948493736171E-3</v>
      </c>
      <c r="J170" t="s">
        <v>28</v>
      </c>
      <c r="K170" cm="1">
        <f t="array" ref="K170">SUM((B166:B172-AVERAGE(B166:B172))^2)</f>
        <v>52.030085714285725</v>
      </c>
    </row>
    <row r="171" spans="1:11" x14ac:dyDescent="0.35">
      <c r="A171">
        <v>25</v>
      </c>
      <c r="B171">
        <v>7.89</v>
      </c>
      <c r="C171">
        <f>K165*(1-EXP(-K166*A171))</f>
        <v>8.552555317239058</v>
      </c>
      <c r="D171">
        <f t="shared" si="24"/>
        <v>-0.66255531723905836</v>
      </c>
      <c r="E171">
        <f t="shared" si="25"/>
        <v>0.43897954840174924</v>
      </c>
      <c r="F171">
        <f>(K167*A171*K165^2)/(1+K167*A171*K165)</f>
        <v>8.0183011570169409</v>
      </c>
      <c r="G171">
        <f t="shared" si="26"/>
        <v>-0.12830115701694123</v>
      </c>
      <c r="H171">
        <f t="shared" si="27"/>
        <v>1.6461186891885807E-2</v>
      </c>
      <c r="J171" t="s">
        <v>29</v>
      </c>
      <c r="K171" cm="1">
        <f t="array" ref="K171">SUM((B166:B172-AVERAGE(B166:B172))^2)</f>
        <v>52.030085714285725</v>
      </c>
    </row>
    <row r="172" spans="1:11" x14ac:dyDescent="0.35">
      <c r="A172">
        <v>30</v>
      </c>
      <c r="B172">
        <v>8.59</v>
      </c>
      <c r="C172">
        <f>K165*(1-EXP(-K166*A172))</f>
        <v>8.5773738904298771</v>
      </c>
      <c r="D172">
        <f t="shared" si="24"/>
        <v>1.2626109570122779E-2</v>
      </c>
      <c r="E172">
        <f t="shared" si="25"/>
        <v>1.5941864287674602E-4</v>
      </c>
      <c r="F172">
        <f>(K167*A172*K165^2)/(1+K167*A172*K165)</f>
        <v>8.108240460272004</v>
      </c>
      <c r="G172">
        <f t="shared" si="26"/>
        <v>0.4817595397279959</v>
      </c>
      <c r="H172">
        <f t="shared" si="27"/>
        <v>0.23209225411893045</v>
      </c>
      <c r="J172" t="s">
        <v>30</v>
      </c>
      <c r="K172">
        <f>1-(K168/K170)</f>
        <v>0.95593090348894583</v>
      </c>
    </row>
    <row r="173" spans="1:11" x14ac:dyDescent="0.35">
      <c r="J173" t="s">
        <v>31</v>
      </c>
      <c r="K173">
        <f>1-(K169/K171)</f>
        <v>0.99123975322840163</v>
      </c>
    </row>
    <row r="191" spans="1:11" x14ac:dyDescent="0.35">
      <c r="D191" s="6" t="s">
        <v>44</v>
      </c>
    </row>
    <row r="192" spans="1:11" x14ac:dyDescent="0.35">
      <c r="A192" t="s">
        <v>45</v>
      </c>
      <c r="B192" t="s">
        <v>50</v>
      </c>
      <c r="C192" t="s">
        <v>14</v>
      </c>
      <c r="D192" t="s">
        <v>2</v>
      </c>
      <c r="E192" t="s">
        <v>3</v>
      </c>
      <c r="F192" t="s">
        <v>15</v>
      </c>
      <c r="G192" t="s">
        <v>4</v>
      </c>
      <c r="H192" t="s">
        <v>5</v>
      </c>
      <c r="J192" t="s">
        <v>7</v>
      </c>
      <c r="K192">
        <v>0.1</v>
      </c>
    </row>
    <row r="193" spans="1:11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J193" t="s">
        <v>8</v>
      </c>
      <c r="K193" s="9">
        <v>5368709.2199999997</v>
      </c>
    </row>
    <row r="194" spans="1:11" x14ac:dyDescent="0.35">
      <c r="A194">
        <v>5</v>
      </c>
      <c r="B194">
        <v>0.1</v>
      </c>
      <c r="C194">
        <f>K192*(1-EXP(-K193*A194))</f>
        <v>0.1</v>
      </c>
      <c r="D194">
        <f>B194-C194</f>
        <v>0</v>
      </c>
      <c r="E194">
        <f>D194^2</f>
        <v>0</v>
      </c>
      <c r="F194">
        <f>(K194*A194*K192^2)/(1+K194*A194*K192)</f>
        <v>9.9999962747111606E-2</v>
      </c>
      <c r="G194">
        <f>B194-F194</f>
        <v>3.7252888399064155E-8</v>
      </c>
      <c r="H194">
        <f>G194^2</f>
        <v>1.3877776940731287E-15</v>
      </c>
      <c r="J194" t="s">
        <v>9</v>
      </c>
      <c r="K194" s="9">
        <v>5368709.2200000007</v>
      </c>
    </row>
    <row r="195" spans="1:11" x14ac:dyDescent="0.35">
      <c r="A195">
        <v>10</v>
      </c>
      <c r="B195">
        <v>0.1</v>
      </c>
      <c r="C195">
        <f>K192*(1-EXP(-K193*A195))</f>
        <v>0.1</v>
      </c>
      <c r="D195">
        <f t="shared" ref="D195:D199" si="28">B195-C195</f>
        <v>0</v>
      </c>
      <c r="E195">
        <f t="shared" ref="E195:E199" si="29">D195^2</f>
        <v>0</v>
      </c>
      <c r="F195">
        <f>(K194*A195*K192^2)/(1+K194*A195*K192)</f>
        <v>9.9999981373552344E-2</v>
      </c>
      <c r="G195">
        <f t="shared" ref="G195:G199" si="30">B195-F195</f>
        <v>1.8626447662040135E-8</v>
      </c>
      <c r="H195">
        <f t="shared" ref="H195:H199" si="31">G195^2</f>
        <v>3.4694455250672045E-16</v>
      </c>
      <c r="J195" t="s">
        <v>10</v>
      </c>
      <c r="K195">
        <f>SUM(E193:E199)</f>
        <v>0</v>
      </c>
    </row>
    <row r="196" spans="1:11" x14ac:dyDescent="0.35">
      <c r="A196">
        <v>15</v>
      </c>
      <c r="B196">
        <v>0.1</v>
      </c>
      <c r="C196">
        <f>K192*(1-EXP(-K193*A196))</f>
        <v>0.1</v>
      </c>
      <c r="D196">
        <f t="shared" si="28"/>
        <v>0</v>
      </c>
      <c r="E196">
        <f t="shared" si="29"/>
        <v>0</v>
      </c>
      <c r="F196">
        <f>(K194*A196*K192^2)/(1+K194*A196*K192)</f>
        <v>9.9999987582367458E-2</v>
      </c>
      <c r="G196">
        <f t="shared" si="30"/>
        <v>1.2417632547223612E-8</v>
      </c>
      <c r="H196">
        <f t="shared" si="31"/>
        <v>1.5419759807786715E-16</v>
      </c>
      <c r="J196" t="s">
        <v>11</v>
      </c>
      <c r="K196">
        <f>SUM(H193:H199)</f>
        <v>2.0697165437542457E-15</v>
      </c>
    </row>
    <row r="197" spans="1:11" x14ac:dyDescent="0.35">
      <c r="A197">
        <v>20</v>
      </c>
      <c r="B197">
        <v>0.1</v>
      </c>
      <c r="C197">
        <f>K192*(1-EXP(-K193*A197))</f>
        <v>0.1</v>
      </c>
      <c r="D197">
        <f t="shared" si="28"/>
        <v>0</v>
      </c>
      <c r="E197">
        <f t="shared" si="29"/>
        <v>0</v>
      </c>
      <c r="F197">
        <f>(K194*A197*K192^2)/(1+K194*A197*K192)</f>
        <v>9.9999990686775314E-2</v>
      </c>
      <c r="G197">
        <f t="shared" si="30"/>
        <v>9.3132246914429118E-9</v>
      </c>
      <c r="H197">
        <f t="shared" si="31"/>
        <v>8.6736154153301916E-17</v>
      </c>
      <c r="J197" t="s">
        <v>28</v>
      </c>
      <c r="K197" cm="1">
        <f t="array" ref="K197">SUM((B193:B199-AVERAGE(B193:B199))^2)</f>
        <v>8.5714285714285736E-3</v>
      </c>
    </row>
    <row r="198" spans="1:11" x14ac:dyDescent="0.35">
      <c r="A198">
        <v>25</v>
      </c>
      <c r="B198">
        <v>0.1</v>
      </c>
      <c r="C198">
        <f>K192*(1-EXP(-K193*A198))</f>
        <v>0.1</v>
      </c>
      <c r="D198">
        <f t="shared" si="28"/>
        <v>0</v>
      </c>
      <c r="E198">
        <f t="shared" si="29"/>
        <v>0</v>
      </c>
      <c r="F198">
        <f>(K194*A198*K192^2)/(1+K194*A198*K192)</f>
        <v>9.9999992549420116E-2</v>
      </c>
      <c r="G198">
        <f t="shared" si="30"/>
        <v>7.4505798891566499E-9</v>
      </c>
      <c r="H198">
        <f t="shared" si="31"/>
        <v>5.5511140684705516E-17</v>
      </c>
      <c r="J198" t="s">
        <v>29</v>
      </c>
      <c r="K198" cm="1">
        <f t="array" ref="K198">SUM((B193:B199-AVERAGE(B193:B199))^2)</f>
        <v>8.5714285714285736E-3</v>
      </c>
    </row>
    <row r="199" spans="1:11" x14ac:dyDescent="0.35">
      <c r="A199">
        <v>30</v>
      </c>
      <c r="B199">
        <v>0.1</v>
      </c>
      <c r="C199">
        <f>K192*(1-EXP(-K193*A199))</f>
        <v>0.1</v>
      </c>
      <c r="D199">
        <f t="shared" si="28"/>
        <v>0</v>
      </c>
      <c r="E199">
        <f t="shared" si="29"/>
        <v>0</v>
      </c>
      <c r="F199">
        <f>(K194*A199*K192^2)/(1+K194*A199*K192)</f>
        <v>9.999999379118335E-2</v>
      </c>
      <c r="G199">
        <f t="shared" si="30"/>
        <v>6.2088166552509705E-9</v>
      </c>
      <c r="H199">
        <f t="shared" si="31"/>
        <v>3.8549404258521848E-17</v>
      </c>
      <c r="J199" t="s">
        <v>30</v>
      </c>
      <c r="K199" s="10">
        <f>1-(K195/K197)</f>
        <v>1</v>
      </c>
    </row>
    <row r="200" spans="1:11" x14ac:dyDescent="0.35">
      <c r="J200" t="s">
        <v>31</v>
      </c>
      <c r="K200" s="10">
        <f>1-(K196/K198)</f>
        <v>0.99999999999975853</v>
      </c>
    </row>
    <row r="218" spans="1:11" x14ac:dyDescent="0.35">
      <c r="D218" s="6" t="s">
        <v>57</v>
      </c>
    </row>
    <row r="219" spans="1:11" x14ac:dyDescent="0.35">
      <c r="A219" t="s">
        <v>45</v>
      </c>
      <c r="B219" t="s">
        <v>47</v>
      </c>
      <c r="C219" t="s">
        <v>16</v>
      </c>
      <c r="D219" t="s">
        <v>2</v>
      </c>
      <c r="E219" t="s">
        <v>3</v>
      </c>
      <c r="F219" t="s">
        <v>15</v>
      </c>
      <c r="G219" t="s">
        <v>4</v>
      </c>
      <c r="H219" t="s">
        <v>5</v>
      </c>
      <c r="J219" t="s">
        <v>7</v>
      </c>
      <c r="K219">
        <v>624.5</v>
      </c>
    </row>
    <row r="220" spans="1:11" x14ac:dyDescent="0.35">
      <c r="A220">
        <v>0</v>
      </c>
      <c r="B220">
        <v>0</v>
      </c>
      <c r="C220">
        <v>0</v>
      </c>
      <c r="D220">
        <f>B220-C220</f>
        <v>0</v>
      </c>
      <c r="E220">
        <f>D220^2</f>
        <v>0</v>
      </c>
      <c r="F220">
        <v>0</v>
      </c>
      <c r="G220">
        <f>B220-F220</f>
        <v>0</v>
      </c>
      <c r="H220">
        <f>G220^2</f>
        <v>0</v>
      </c>
      <c r="J220" t="s">
        <v>8</v>
      </c>
      <c r="K220">
        <v>0.53113475568707169</v>
      </c>
    </row>
    <row r="221" spans="1:11" x14ac:dyDescent="0.35">
      <c r="A221">
        <v>5</v>
      </c>
      <c r="B221">
        <v>585.1</v>
      </c>
      <c r="C221">
        <f>K219*(1-EXP(-K220*A221))</f>
        <v>580.62794525866161</v>
      </c>
      <c r="D221">
        <f t="shared" ref="D221:D226" si="32">B221-C221</f>
        <v>4.4720547413384111</v>
      </c>
      <c r="E221">
        <f t="shared" ref="E221:E226" si="33">D221^2</f>
        <v>19.999273609527364</v>
      </c>
      <c r="F221">
        <f>(K221*A221*K219^2)/(1+K221*A221*K219)</f>
        <v>573.56293088624795</v>
      </c>
      <c r="G221">
        <f t="shared" ref="G221:G226" si="34">B221-F221</f>
        <v>11.537069113752068</v>
      </c>
      <c r="H221">
        <f t="shared" ref="H221:H226" si="35">G221^2</f>
        <v>133.10396373549193</v>
      </c>
      <c r="J221" t="s">
        <v>9</v>
      </c>
      <c r="K221">
        <v>3.6061573771241982E-3</v>
      </c>
    </row>
    <row r="222" spans="1:11" x14ac:dyDescent="0.35">
      <c r="A222">
        <v>10</v>
      </c>
      <c r="B222">
        <v>592.70000000000005</v>
      </c>
      <c r="C222">
        <f>K219*(1-EXP(-K220*A222))</f>
        <v>621.4179228387078</v>
      </c>
      <c r="D222">
        <f t="shared" si="32"/>
        <v>-28.71792283870775</v>
      </c>
      <c r="E222">
        <f t="shared" si="33"/>
        <v>824.71909216997221</v>
      </c>
      <c r="F222">
        <f>(K221*A222*K219^2)/(1+K221*A222*K219)</f>
        <v>597.94864043326413</v>
      </c>
      <c r="G222">
        <f t="shared" si="34"/>
        <v>-5.2486404332640859</v>
      </c>
      <c r="H222">
        <f t="shared" si="35"/>
        <v>27.548226397694613</v>
      </c>
      <c r="J222" t="s">
        <v>61</v>
      </c>
      <c r="K222">
        <f>SUM(E220:E226)</f>
        <v>2943.0768597939459</v>
      </c>
    </row>
    <row r="223" spans="1:11" x14ac:dyDescent="0.35">
      <c r="A223">
        <v>15</v>
      </c>
      <c r="B223">
        <v>597.9</v>
      </c>
      <c r="C223">
        <f>K219*(1-EXP(-K220*A223))</f>
        <v>624.28347949089311</v>
      </c>
      <c r="D223">
        <f t="shared" si="32"/>
        <v>-26.383479490893137</v>
      </c>
      <c r="E223">
        <f t="shared" si="33"/>
        <v>696.08799004637876</v>
      </c>
      <c r="F223">
        <f>(K221*A223*K219^2)/(1+K221*A223*K219)</f>
        <v>606.54462897729866</v>
      </c>
      <c r="G223">
        <f t="shared" si="34"/>
        <v>-8.6446289772986802</v>
      </c>
      <c r="H223">
        <f t="shared" si="35"/>
        <v>74.729610155152031</v>
      </c>
      <c r="J223" t="s">
        <v>62</v>
      </c>
      <c r="K223">
        <f>SUM(H220:H226)</f>
        <v>730.13528867320565</v>
      </c>
    </row>
    <row r="224" spans="1:11" x14ac:dyDescent="0.35">
      <c r="A224">
        <v>20</v>
      </c>
      <c r="B224">
        <v>592.70000000000005</v>
      </c>
      <c r="C224">
        <f>K219*(1-EXP(-K220*A224))</f>
        <v>624.48478911188454</v>
      </c>
      <c r="D224">
        <f t="shared" si="32"/>
        <v>-31.784789111884493</v>
      </c>
      <c r="E224">
        <f t="shared" si="33"/>
        <v>1010.272818886971</v>
      </c>
      <c r="F224">
        <f>(K221*A224*K219^2)/(1+K221*A224*K219)</f>
        <v>610.93597489416834</v>
      </c>
      <c r="G224">
        <f t="shared" si="34"/>
        <v>-18.235974894168294</v>
      </c>
      <c r="H224">
        <f t="shared" si="35"/>
        <v>332.55078034073631</v>
      </c>
      <c r="J224" t="s">
        <v>63</v>
      </c>
      <c r="K224" cm="1">
        <f t="array" ref="K224">SUM((B220:B226-AVERAGE(B220:B226))^2)</f>
        <v>309114.51714285719</v>
      </c>
    </row>
    <row r="225" spans="1:11" x14ac:dyDescent="0.35">
      <c r="A225">
        <v>25</v>
      </c>
      <c r="B225">
        <v>604.70000000000005</v>
      </c>
      <c r="C225">
        <f>K219*(1-EXP(-K220*A225))</f>
        <v>624.49893141246423</v>
      </c>
      <c r="D225">
        <f t="shared" si="32"/>
        <v>-19.798931412464185</v>
      </c>
      <c r="E225">
        <f t="shared" si="33"/>
        <v>391.99768507546105</v>
      </c>
      <c r="F225">
        <f>(K221*A225*K219^2)/(1+K221*A225*K219)</f>
        <v>613.60143695850127</v>
      </c>
      <c r="G225">
        <f t="shared" si="34"/>
        <v>-8.9014369585012219</v>
      </c>
      <c r="H225">
        <f t="shared" si="35"/>
        <v>79.235579926171482</v>
      </c>
      <c r="J225" t="s">
        <v>64</v>
      </c>
      <c r="K225" cm="1">
        <f t="array" ref="K225">SUM((B220:B226-AVERAGE(B220:B226))^2)</f>
        <v>309114.51714285719</v>
      </c>
    </row>
    <row r="226" spans="1:11" x14ac:dyDescent="0.35">
      <c r="A226">
        <v>30</v>
      </c>
      <c r="B226">
        <v>624.5</v>
      </c>
      <c r="C226">
        <f>K219*(1-EXP(-K220*A226))</f>
        <v>624.49992493013474</v>
      </c>
      <c r="D226">
        <f t="shared" si="32"/>
        <v>7.5069865260957158E-5</v>
      </c>
      <c r="E226">
        <f t="shared" si="33"/>
        <v>5.6354846702982623E-9</v>
      </c>
      <c r="F226">
        <f>(K221*A226*K219^2)/(1+K221*A226*K219)</f>
        <v>615.39137067841932</v>
      </c>
      <c r="G226">
        <f t="shared" si="34"/>
        <v>9.1086293215806791</v>
      </c>
      <c r="H226">
        <f t="shared" si="35"/>
        <v>82.967128117959305</v>
      </c>
      <c r="J226" t="s">
        <v>65</v>
      </c>
      <c r="K226">
        <f>1-(K222/K224)</f>
        <v>0.99047900795149713</v>
      </c>
    </row>
    <row r="227" spans="1:11" x14ac:dyDescent="0.35">
      <c r="J227" t="s">
        <v>66</v>
      </c>
      <c r="K227">
        <f>1-(K223/K225)</f>
        <v>0.99763797800432719</v>
      </c>
    </row>
    <row r="244" spans="1:11" x14ac:dyDescent="0.35">
      <c r="D244" s="6" t="s">
        <v>59</v>
      </c>
    </row>
    <row r="245" spans="1:11" x14ac:dyDescent="0.35">
      <c r="A245" t="s">
        <v>45</v>
      </c>
      <c r="B245" t="s">
        <v>47</v>
      </c>
      <c r="C245" t="s">
        <v>14</v>
      </c>
      <c r="D245" t="s">
        <v>2</v>
      </c>
      <c r="E245" t="s">
        <v>3</v>
      </c>
      <c r="F245" t="s">
        <v>15</v>
      </c>
      <c r="G245" t="s">
        <v>4</v>
      </c>
      <c r="H245" t="s">
        <v>5</v>
      </c>
      <c r="J245" t="s">
        <v>7</v>
      </c>
      <c r="K245">
        <v>0.8</v>
      </c>
    </row>
    <row r="246" spans="1:11" x14ac:dyDescent="0.35">
      <c r="A246">
        <v>0</v>
      </c>
      <c r="B246">
        <v>0</v>
      </c>
      <c r="C246">
        <v>0</v>
      </c>
      <c r="D246">
        <f>B246-C246</f>
        <v>0</v>
      </c>
      <c r="E246">
        <f>D246^2</f>
        <v>0</v>
      </c>
      <c r="F246">
        <v>0</v>
      </c>
      <c r="G246">
        <f>B246-F246</f>
        <v>0</v>
      </c>
      <c r="H246">
        <f>G246^2</f>
        <v>0</v>
      </c>
      <c r="J246" t="s">
        <v>8</v>
      </c>
      <c r="K246">
        <v>0.19200499486448053</v>
      </c>
    </row>
    <row r="247" spans="1:11" x14ac:dyDescent="0.35">
      <c r="A247">
        <v>5</v>
      </c>
      <c r="B247">
        <v>0.5</v>
      </c>
      <c r="C247">
        <f>K245*(1-EXP(-K246*A247))</f>
        <v>0.49369334111668856</v>
      </c>
      <c r="D247">
        <f t="shared" ref="D247:D252" si="36">B247-C247</f>
        <v>6.3066588833114445E-3</v>
      </c>
      <c r="E247">
        <f t="shared" ref="E247:E252" si="37">D247^2</f>
        <v>3.9773946270451157E-5</v>
      </c>
      <c r="F247">
        <f>(K247*A247*K245^2)/(1+K247*A247*K245)</f>
        <v>0.57675421251101522</v>
      </c>
      <c r="G247">
        <f t="shared" ref="G247:G252" si="38">B247-F247</f>
        <v>-7.6754212511015218E-2</v>
      </c>
      <c r="H247">
        <f t="shared" ref="H247:H252" si="39">G247^2</f>
        <v>5.8912091381860855E-3</v>
      </c>
      <c r="J247" t="s">
        <v>9</v>
      </c>
      <c r="K247">
        <v>0.64587356719941758</v>
      </c>
    </row>
    <row r="248" spans="1:11" x14ac:dyDescent="0.35">
      <c r="A248">
        <v>10</v>
      </c>
      <c r="B248">
        <v>0.7</v>
      </c>
      <c r="C248">
        <f>K245*(1-EXP(-K246*A248))</f>
        <v>0.68272028840467835</v>
      </c>
      <c r="D248">
        <f t="shared" si="36"/>
        <v>1.7279711595321601E-2</v>
      </c>
      <c r="E248">
        <f t="shared" si="37"/>
        <v>2.9858843281749178E-4</v>
      </c>
      <c r="F248">
        <f>(K247*A248*K245^2)/(1+K247*A248*K245)</f>
        <v>0.67027704119717102</v>
      </c>
      <c r="G248">
        <f t="shared" si="38"/>
        <v>2.9722958802828936E-2</v>
      </c>
      <c r="H248">
        <f t="shared" si="39"/>
        <v>8.8345427999466611E-4</v>
      </c>
      <c r="J248" t="s">
        <v>61</v>
      </c>
      <c r="K248">
        <f>SUM(E246:E252)</f>
        <v>3.7191758901769E-3</v>
      </c>
    </row>
    <row r="249" spans="1:11" x14ac:dyDescent="0.35">
      <c r="A249">
        <v>15</v>
      </c>
      <c r="B249">
        <v>0.7</v>
      </c>
      <c r="C249">
        <f>K245*(1-EXP(-K246*A249))</f>
        <v>0.75509555423304831</v>
      </c>
      <c r="D249">
        <f t="shared" si="36"/>
        <v>-5.5095554233048349E-2</v>
      </c>
      <c r="E249">
        <f t="shared" si="37"/>
        <v>3.0355200962467717E-3</v>
      </c>
      <c r="F249">
        <f>(K247*A249*K245^2)/(1+K247*A249*K245)</f>
        <v>0.70857647312722816</v>
      </c>
      <c r="G249">
        <f t="shared" si="38"/>
        <v>-8.5764731272282013E-3</v>
      </c>
      <c r="H249">
        <f t="shared" si="39"/>
        <v>7.355589130206748E-5</v>
      </c>
      <c r="J249" t="s">
        <v>62</v>
      </c>
      <c r="K249">
        <f>SUM(H246:H252)</f>
        <v>1.7485004246829351E-2</v>
      </c>
    </row>
    <row r="250" spans="1:11" x14ac:dyDescent="0.35">
      <c r="A250">
        <v>20</v>
      </c>
      <c r="B250">
        <v>0.8</v>
      </c>
      <c r="C250">
        <f>K245*(1-EXP(-K246*A250))</f>
        <v>0.78280683656014771</v>
      </c>
      <c r="D250">
        <f t="shared" si="36"/>
        <v>1.7193163439852333E-2</v>
      </c>
      <c r="E250">
        <f t="shared" si="37"/>
        <v>2.956048690694749E-4</v>
      </c>
      <c r="F250">
        <f>(K247*A250*K245^2)/(1+K247*A250*K245)</f>
        <v>0.72941577394301027</v>
      </c>
      <c r="G250">
        <f t="shared" si="38"/>
        <v>7.0584226056989774E-2</v>
      </c>
      <c r="H250">
        <f t="shared" si="39"/>
        <v>4.982132968064234E-3</v>
      </c>
      <c r="J250" t="s">
        <v>63</v>
      </c>
      <c r="K250" cm="1">
        <f t="array" ref="K250">SUM((B246:B252-AVERAGE(B246:B252))^2)</f>
        <v>0.50857142857142856</v>
      </c>
    </row>
    <row r="251" spans="1:11" x14ac:dyDescent="0.35">
      <c r="A251">
        <v>25</v>
      </c>
      <c r="B251">
        <v>0.8</v>
      </c>
      <c r="C251">
        <f>K245*(1-EXP(-K246*A251))</f>
        <v>0.79341702443888018</v>
      </c>
      <c r="D251">
        <f t="shared" si="36"/>
        <v>6.5829755611198637E-3</v>
      </c>
      <c r="E251">
        <f t="shared" si="37"/>
        <v>4.3335567238301385E-5</v>
      </c>
      <c r="F251">
        <f>(K247*A251*K245^2)/(1+K247*A251*K245)</f>
        <v>0.74251829371679945</v>
      </c>
      <c r="G251">
        <f t="shared" si="38"/>
        <v>5.7481706283200595E-2</v>
      </c>
      <c r="H251">
        <f t="shared" si="39"/>
        <v>3.304146557228143E-3</v>
      </c>
      <c r="J251" t="s">
        <v>64</v>
      </c>
      <c r="K251" cm="1">
        <f t="array" ref="K251">SUM((B246:B252-AVERAGE(B246:B252))^2)</f>
        <v>0.50857142857142856</v>
      </c>
    </row>
    <row r="252" spans="1:11" x14ac:dyDescent="0.35">
      <c r="A252">
        <v>30</v>
      </c>
      <c r="B252">
        <v>0.8</v>
      </c>
      <c r="C252">
        <f>K245*(1-EXP(-K246*A252))</f>
        <v>0.79747948843795369</v>
      </c>
      <c r="D252">
        <f t="shared" si="36"/>
        <v>2.520511562046357E-3</v>
      </c>
      <c r="E252">
        <f t="shared" si="37"/>
        <v>6.3529785344093662E-6</v>
      </c>
      <c r="F252">
        <f>(K247*A252*K245^2)/(1+K247*A252*K245)</f>
        <v>0.75151798877878362</v>
      </c>
      <c r="G252">
        <f t="shared" si="38"/>
        <v>4.8482011221216426E-2</v>
      </c>
      <c r="H252">
        <f t="shared" si="39"/>
        <v>2.3505054120541552E-3</v>
      </c>
      <c r="J252" t="s">
        <v>65</v>
      </c>
      <c r="K252">
        <f>1-(K248/K250)</f>
        <v>0.9926870136990904</v>
      </c>
    </row>
    <row r="253" spans="1:11" x14ac:dyDescent="0.35">
      <c r="J253" t="s">
        <v>66</v>
      </c>
      <c r="K253">
        <f>1-(K249/K251)</f>
        <v>0.96561937367196471</v>
      </c>
    </row>
    <row r="270" spans="1:11" x14ac:dyDescent="0.35">
      <c r="D270" s="6" t="s">
        <v>60</v>
      </c>
    </row>
    <row r="271" spans="1:11" x14ac:dyDescent="0.35">
      <c r="A271" t="s">
        <v>45</v>
      </c>
      <c r="B271" t="s">
        <v>47</v>
      </c>
      <c r="C271" t="s">
        <v>14</v>
      </c>
      <c r="D271" t="s">
        <v>2</v>
      </c>
      <c r="E271" t="s">
        <v>5</v>
      </c>
      <c r="F271" t="s">
        <v>15</v>
      </c>
      <c r="G271" t="s">
        <v>4</v>
      </c>
      <c r="H271" t="s">
        <v>69</v>
      </c>
      <c r="J271" t="s">
        <v>7</v>
      </c>
      <c r="K271">
        <v>4.8899999999999997</v>
      </c>
    </row>
    <row r="272" spans="1:11" x14ac:dyDescent="0.35">
      <c r="A272">
        <v>0</v>
      </c>
      <c r="B272">
        <v>0</v>
      </c>
      <c r="C272">
        <v>0</v>
      </c>
      <c r="D272">
        <f>B272-C272</f>
        <v>0</v>
      </c>
      <c r="E272">
        <f>D272^2</f>
        <v>0</v>
      </c>
      <c r="F272">
        <v>0</v>
      </c>
      <c r="G272">
        <f>B272-F272</f>
        <v>0</v>
      </c>
      <c r="H272">
        <f>G272^2</f>
        <v>0</v>
      </c>
      <c r="J272" t="s">
        <v>8</v>
      </c>
      <c r="K272">
        <v>4.8236691748463234E-2</v>
      </c>
    </row>
    <row r="273" spans="1:11" x14ac:dyDescent="0.35">
      <c r="A273">
        <v>5</v>
      </c>
      <c r="B273">
        <v>0.79</v>
      </c>
      <c r="C273">
        <f>K271*(1-EXP(-K272*A273))</f>
        <v>1.0479393712321294</v>
      </c>
      <c r="D273">
        <f t="shared" ref="D273:D278" si="40">B273-C273</f>
        <v>-0.2579393712321294</v>
      </c>
      <c r="E273">
        <f t="shared" ref="E273:E278" si="41">D273^2</f>
        <v>6.6532719231626264E-2</v>
      </c>
      <c r="F273">
        <f>(K273*A273*K271^2)/(1+K273*A273*K271)</f>
        <v>1.3053201025086172</v>
      </c>
      <c r="G273">
        <f t="shared" ref="G273:G278" si="42">B273-F273</f>
        <v>-0.51532010250861715</v>
      </c>
      <c r="H273">
        <f t="shared" ref="H273:H278" si="43">G273^2</f>
        <v>0.26555480804949166</v>
      </c>
      <c r="J273" t="s">
        <v>9</v>
      </c>
      <c r="K273">
        <v>1.4893191800288079E-2</v>
      </c>
    </row>
    <row r="274" spans="1:11" x14ac:dyDescent="0.35">
      <c r="A274">
        <v>10</v>
      </c>
      <c r="B274">
        <v>1.0900000000000001</v>
      </c>
      <c r="C274">
        <f>K271*(1-EXP(-K272*A274))</f>
        <v>1.8713026840228701</v>
      </c>
      <c r="D274">
        <f t="shared" si="40"/>
        <v>-0.78130268402287006</v>
      </c>
      <c r="E274">
        <f t="shared" si="41"/>
        <v>0.61043388406134069</v>
      </c>
      <c r="F274">
        <f>(K273*A274*K271^2)/(1+K273*A274*K271)</f>
        <v>2.0605925749284588</v>
      </c>
      <c r="G274">
        <f t="shared" si="42"/>
        <v>-0.97059257492845874</v>
      </c>
      <c r="H274">
        <f t="shared" si="43"/>
        <v>0.94204994650625584</v>
      </c>
      <c r="J274" t="s">
        <v>10</v>
      </c>
      <c r="K274">
        <f>SUM(E272:E278)</f>
        <v>2.2770826256665</v>
      </c>
    </row>
    <row r="275" spans="1:11" x14ac:dyDescent="0.35">
      <c r="A275">
        <v>15</v>
      </c>
      <c r="B275">
        <v>2.39</v>
      </c>
      <c r="C275">
        <f>K271*(1-EXP(-K272*A275))</f>
        <v>2.5182171558521524</v>
      </c>
      <c r="D275">
        <f t="shared" si="40"/>
        <v>-0.12821715585215232</v>
      </c>
      <c r="E275">
        <f t="shared" si="41"/>
        <v>1.6439639054815117E-2</v>
      </c>
      <c r="F275">
        <f>(K273*A275*K271^2)/(1+K273*A275*K271)</f>
        <v>2.5529881957266096</v>
      </c>
      <c r="G275">
        <f t="shared" si="42"/>
        <v>-0.1629881957266095</v>
      </c>
      <c r="H275">
        <f t="shared" si="43"/>
        <v>2.6565151946215566E-2</v>
      </c>
      <c r="J275" t="s">
        <v>11</v>
      </c>
      <c r="K275">
        <f>SUM(H272:H278)</f>
        <v>3.9721121866317701</v>
      </c>
    </row>
    <row r="276" spans="1:11" x14ac:dyDescent="0.35">
      <c r="A276">
        <v>20</v>
      </c>
      <c r="B276">
        <v>2.59</v>
      </c>
      <c r="C276">
        <f>K271*(1-EXP(-K272*A276))</f>
        <v>3.026496219736702</v>
      </c>
      <c r="D276">
        <f t="shared" si="40"/>
        <v>-0.43649621973670216</v>
      </c>
      <c r="E276">
        <f t="shared" si="41"/>
        <v>0.19052894984443139</v>
      </c>
      <c r="F276">
        <f>(K273*A276*K271^2)/(1+K273*A276*K271)</f>
        <v>2.8994068010104526</v>
      </c>
      <c r="G276">
        <f t="shared" si="42"/>
        <v>-0.3094068010104527</v>
      </c>
      <c r="H276">
        <f t="shared" si="43"/>
        <v>9.5732568511521871E-2</v>
      </c>
      <c r="J276" t="s">
        <v>28</v>
      </c>
      <c r="K276" cm="1">
        <f t="array" ref="K276">SUM((B272:B278-AVERAGE(B272:B278))^2)</f>
        <v>17.704371428571427</v>
      </c>
    </row>
    <row r="277" spans="1:11" x14ac:dyDescent="0.35">
      <c r="A277">
        <v>25</v>
      </c>
      <c r="B277">
        <v>3.69</v>
      </c>
      <c r="C277">
        <f>K271*(1-EXP(-K272*A277))</f>
        <v>3.4258497943333919</v>
      </c>
      <c r="D277">
        <f t="shared" si="40"/>
        <v>0.26415020566660807</v>
      </c>
      <c r="E277">
        <f t="shared" si="41"/>
        <v>6.9775331153711345E-2</v>
      </c>
      <c r="F277">
        <f>(K273*A277*K271^2)/(1+K273*A277*K271)</f>
        <v>3.1563832879823077</v>
      </c>
      <c r="G277">
        <f t="shared" si="42"/>
        <v>0.53361671201769223</v>
      </c>
      <c r="H277">
        <f t="shared" si="43"/>
        <v>0.2847467953445727</v>
      </c>
      <c r="J277" t="s">
        <v>29</v>
      </c>
      <c r="K277" cm="1">
        <f t="array" ref="K277">SUM((B272:B278-AVERAGE(B272:B278))^2)</f>
        <v>17.704371428571427</v>
      </c>
    </row>
    <row r="278" spans="1:11" x14ac:dyDescent="0.35">
      <c r="A278">
        <v>30</v>
      </c>
      <c r="B278">
        <v>4.8899999999999997</v>
      </c>
      <c r="C278">
        <f>K271*(1-EXP(-K272*A278))</f>
        <v>3.7396208875676784</v>
      </c>
      <c r="D278">
        <f t="shared" si="40"/>
        <v>1.1503791124323213</v>
      </c>
      <c r="E278">
        <f t="shared" si="41"/>
        <v>1.3233721023205753</v>
      </c>
      <c r="F278">
        <f>(K273*A278*K271^2)/(1+K273*A278*K271)</f>
        <v>3.3545968228918785</v>
      </c>
      <c r="G278">
        <f t="shared" si="42"/>
        <v>1.5354031771081211</v>
      </c>
      <c r="H278">
        <f t="shared" si="43"/>
        <v>2.3574629162737124</v>
      </c>
      <c r="J278" t="s">
        <v>30</v>
      </c>
      <c r="K278">
        <f>1-(K274/K276)</f>
        <v>0.87138302905282872</v>
      </c>
    </row>
    <row r="279" spans="1:11" x14ac:dyDescent="0.35">
      <c r="J279" t="s">
        <v>31</v>
      </c>
      <c r="K279">
        <f>1-(K275/K277)</f>
        <v>0.77564229248932559</v>
      </c>
    </row>
  </sheetData>
  <pageMargins left="0.7" right="0.7" top="0.75" bottom="0.75" header="0.3" footer="0.3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AF84-A8B7-4E34-90A8-EB2E76A53AFA}">
  <dimension ref="A1:K279"/>
  <sheetViews>
    <sheetView topLeftCell="H271" zoomScale="91" zoomScaleNormal="85" workbookViewId="0">
      <selection activeCell="K284" sqref="K284"/>
    </sheetView>
  </sheetViews>
  <sheetFormatPr defaultRowHeight="14.5" x14ac:dyDescent="0.35"/>
  <cols>
    <col min="1" max="1" width="16.08984375" customWidth="1"/>
    <col min="2" max="2" width="39.453125" customWidth="1"/>
    <col min="3" max="3" width="19.1796875" customWidth="1"/>
    <col min="4" max="4" width="14.54296875" customWidth="1"/>
    <col min="5" max="5" width="16.81640625" customWidth="1"/>
    <col min="6" max="6" width="19.453125" customWidth="1"/>
    <col min="7" max="7" width="12.453125" customWidth="1"/>
    <col min="8" max="8" width="15.54296875" customWidth="1"/>
    <col min="9" max="9" width="16.1796875" customWidth="1"/>
    <col min="10" max="10" width="16.7265625" customWidth="1"/>
    <col min="11" max="11" width="27.1796875" customWidth="1"/>
  </cols>
  <sheetData>
    <row r="1" spans="1:11" x14ac:dyDescent="0.35">
      <c r="D1" s="6" t="s">
        <v>34</v>
      </c>
    </row>
    <row r="2" spans="1:11" x14ac:dyDescent="0.35">
      <c r="A2" t="s">
        <v>45</v>
      </c>
      <c r="B2" t="s">
        <v>51</v>
      </c>
      <c r="C2" t="s">
        <v>14</v>
      </c>
      <c r="D2" t="s">
        <v>2</v>
      </c>
      <c r="E2" t="s">
        <v>26</v>
      </c>
      <c r="F2" t="s">
        <v>15</v>
      </c>
      <c r="G2" t="s">
        <v>4</v>
      </c>
      <c r="H2" t="s">
        <v>5</v>
      </c>
      <c r="J2" t="s">
        <v>7</v>
      </c>
      <c r="K2">
        <v>132.6</v>
      </c>
    </row>
    <row r="3" spans="1:11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 t="s">
        <v>8</v>
      </c>
      <c r="K3" s="8">
        <v>0.24904653546224145</v>
      </c>
    </row>
    <row r="4" spans="1:11" x14ac:dyDescent="0.35">
      <c r="A4">
        <v>5</v>
      </c>
      <c r="B4">
        <v>94.7</v>
      </c>
      <c r="C4">
        <f>K2*(1-EXP((-K3*A4)))</f>
        <v>94.427918392545635</v>
      </c>
      <c r="D4">
        <f>B4-C4</f>
        <v>0.27208160745436771</v>
      </c>
      <c r="E4">
        <f>D4^2</f>
        <v>7.4028401114952638E-2</v>
      </c>
      <c r="F4">
        <f>(K4*A4*K2^2)/(1+K4*A4*K2)</f>
        <v>103.49862748367693</v>
      </c>
      <c r="G4">
        <f>B4-F4</f>
        <v>-8.798627483676924</v>
      </c>
      <c r="H4">
        <f>G4^2</f>
        <v>77.415845596514927</v>
      </c>
      <c r="J4" t="s">
        <v>9</v>
      </c>
      <c r="K4" s="8">
        <v>5.3642324614462979E-3</v>
      </c>
    </row>
    <row r="5" spans="1:11" x14ac:dyDescent="0.35">
      <c r="A5">
        <v>10</v>
      </c>
      <c r="B5">
        <v>124.8</v>
      </c>
      <c r="C5">
        <f>K2*(1-EXP((-K3*A5)))</f>
        <v>121.61125328622808</v>
      </c>
      <c r="D5">
        <f t="shared" ref="D5:D9" si="0">B5-C5</f>
        <v>3.1887467137719199</v>
      </c>
      <c r="E5">
        <f t="shared" ref="E5:E9" si="1">D5^2</f>
        <v>10.168105604591219</v>
      </c>
      <c r="F5">
        <f>(K4*A5*K2^2)/(1+K4*A5*K2)</f>
        <v>116.25580504727317</v>
      </c>
      <c r="G5">
        <f t="shared" ref="G5:G9" si="2">B5-F5</f>
        <v>8.5441949527268264</v>
      </c>
      <c r="H5">
        <f t="shared" ref="H5:H9" si="3">G5^2</f>
        <v>73.003267390202581</v>
      </c>
      <c r="J5" t="s">
        <v>10</v>
      </c>
      <c r="K5">
        <f>SUM(E3:E9)</f>
        <v>123.09594269174701</v>
      </c>
    </row>
    <row r="6" spans="1:11" x14ac:dyDescent="0.35">
      <c r="A6">
        <v>15</v>
      </c>
      <c r="B6">
        <v>124.4</v>
      </c>
      <c r="C6">
        <f>K2*(1-EXP((-K3*A6)))</f>
        <v>129.43662642291289</v>
      </c>
      <c r="D6">
        <f t="shared" si="0"/>
        <v>-5.0366264229128888</v>
      </c>
      <c r="E6">
        <f t="shared" si="1"/>
        <v>25.36760572398428</v>
      </c>
      <c r="F6">
        <f>(K4*A6*K2^2)/(1+K4*A6*K2)</f>
        <v>121.23700474835879</v>
      </c>
      <c r="G6">
        <f t="shared" si="2"/>
        <v>3.1629952516412203</v>
      </c>
      <c r="H6">
        <f t="shared" si="3"/>
        <v>10.004538961904906</v>
      </c>
      <c r="J6" t="s">
        <v>11</v>
      </c>
      <c r="K6">
        <f>SUM(H3:H9)</f>
        <v>197.14450010546287</v>
      </c>
    </row>
    <row r="7" spans="1:11" x14ac:dyDescent="0.35">
      <c r="A7">
        <v>20</v>
      </c>
      <c r="B7">
        <v>125.1</v>
      </c>
      <c r="C7">
        <f>K2*(1-EXP((-K3*A7)))</f>
        <v>131.68934725234215</v>
      </c>
      <c r="D7">
        <f t="shared" si="0"/>
        <v>-6.5893472523421508</v>
      </c>
      <c r="E7">
        <f t="shared" si="1"/>
        <v>43.41949721194905</v>
      </c>
      <c r="F7">
        <f>(K4*A7*K2^2)/(1+K4*A7*K2)</f>
        <v>123.89118064848886</v>
      </c>
      <c r="G7">
        <f t="shared" si="2"/>
        <v>1.2088193515111385</v>
      </c>
      <c r="H7">
        <f t="shared" si="3"/>
        <v>1.4612442245878094</v>
      </c>
      <c r="J7" t="s">
        <v>32</v>
      </c>
      <c r="K7" cm="1">
        <f t="array" ref="K7">SUM((Table2[Concentration EFB 0,85mm (Ct1)]-AVERAGE(Table2[Concentration EFB 0,85mm (Ct1)]))^2)</f>
        <v>13485.279999999997</v>
      </c>
    </row>
    <row r="8" spans="1:11" x14ac:dyDescent="0.35">
      <c r="A8">
        <v>25</v>
      </c>
      <c r="B8">
        <v>125.7</v>
      </c>
      <c r="C8">
        <f>K2*(1-EXP((-K3*A8)))</f>
        <v>132.33784682504034</v>
      </c>
      <c r="D8">
        <f t="shared" si="0"/>
        <v>-6.6378468250403415</v>
      </c>
      <c r="E8">
        <f t="shared" si="1"/>
        <v>44.061010472698143</v>
      </c>
      <c r="F8">
        <f>(K4*A8*K2^2)/(1+K4*A8*K2)</f>
        <v>125.54021084089302</v>
      </c>
      <c r="G8">
        <f t="shared" si="2"/>
        <v>0.15978915910697822</v>
      </c>
      <c r="H8">
        <f t="shared" si="3"/>
        <v>2.55325753681152E-2</v>
      </c>
      <c r="J8" t="s">
        <v>29</v>
      </c>
      <c r="K8" cm="1">
        <f t="array" ref="K8">SUM((Table2[Concentration EFB 0,85mm (Ct1)]-AVERAGE(Table2[Concentration EFB 0,85mm (Ct1)]))^2)</f>
        <v>13485.279999999997</v>
      </c>
    </row>
    <row r="9" spans="1:11" x14ac:dyDescent="0.35">
      <c r="A9">
        <v>30</v>
      </c>
      <c r="B9">
        <v>132.6</v>
      </c>
      <c r="C9">
        <f>K2*(1-EXP((-K3*A9)))</f>
        <v>132.52453293824877</v>
      </c>
      <c r="D9">
        <f t="shared" si="0"/>
        <v>7.5467061751226083E-2</v>
      </c>
      <c r="E9">
        <f t="shared" si="1"/>
        <v>5.6952774093633708E-3</v>
      </c>
      <c r="F9">
        <f>(K4*A9*K2^2)/(1+K4*A9*K2)</f>
        <v>126.66417054179581</v>
      </c>
      <c r="G9">
        <f t="shared" si="2"/>
        <v>5.9358294582041822</v>
      </c>
      <c r="H9">
        <f t="shared" si="3"/>
        <v>35.234071356884556</v>
      </c>
      <c r="J9" t="s">
        <v>30</v>
      </c>
      <c r="K9" s="8">
        <f>1-(K5/K7)</f>
        <v>0.99087182893556924</v>
      </c>
    </row>
    <row r="10" spans="1:11" x14ac:dyDescent="0.35">
      <c r="J10" t="s">
        <v>31</v>
      </c>
      <c r="K10" s="8">
        <f>1-(K6/K8)</f>
        <v>0.9853807633133711</v>
      </c>
    </row>
    <row r="27" spans="1:11" x14ac:dyDescent="0.35">
      <c r="D27" s="6" t="s">
        <v>27</v>
      </c>
    </row>
    <row r="28" spans="1:11" x14ac:dyDescent="0.35">
      <c r="A28" t="s">
        <v>45</v>
      </c>
      <c r="B28" t="s">
        <v>47</v>
      </c>
      <c r="C28" t="s">
        <v>35</v>
      </c>
      <c r="D28" t="s">
        <v>2</v>
      </c>
      <c r="E28" t="s">
        <v>3</v>
      </c>
      <c r="F28" t="s">
        <v>36</v>
      </c>
      <c r="G28" t="s">
        <v>4</v>
      </c>
      <c r="H28" t="s">
        <v>5</v>
      </c>
      <c r="J28" t="s">
        <v>7</v>
      </c>
      <c r="K28">
        <v>9.3000000000000007</v>
      </c>
    </row>
    <row r="29" spans="1:11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 t="s">
        <v>8</v>
      </c>
      <c r="K29" s="8">
        <v>5.9707656899245656</v>
      </c>
    </row>
    <row r="30" spans="1:11" x14ac:dyDescent="0.35">
      <c r="A30">
        <v>5</v>
      </c>
      <c r="B30">
        <v>7.3</v>
      </c>
      <c r="C30">
        <f>K28*(1-EXP(-K29*A30))</f>
        <v>9.2999999999989935</v>
      </c>
      <c r="D30">
        <f>B30-C30</f>
        <v>-1.9999999999989937</v>
      </c>
      <c r="E30">
        <f>D30^2</f>
        <v>3.9999999999959748</v>
      </c>
      <c r="F30">
        <f>(K30*A30*K28^2)/(1+K30*A30*K28)</f>
        <v>7.4480726698639952</v>
      </c>
      <c r="G30">
        <f>B30-F30</f>
        <v>-0.14807266986399537</v>
      </c>
      <c r="H30">
        <f>G30^2</f>
        <v>2.1925515560651761E-2</v>
      </c>
      <c r="J30" t="s">
        <v>9</v>
      </c>
      <c r="K30">
        <v>8.6490221941788403E-2</v>
      </c>
    </row>
    <row r="31" spans="1:11" x14ac:dyDescent="0.35">
      <c r="A31">
        <v>10</v>
      </c>
      <c r="B31">
        <v>8.5</v>
      </c>
      <c r="C31">
        <f>K28*(1-EXP(-K29*A31))</f>
        <v>9.3000000000000007</v>
      </c>
      <c r="D31">
        <f t="shared" ref="D31:D35" si="4">B31-C31</f>
        <v>-0.80000000000000071</v>
      </c>
      <c r="E31">
        <f t="shared" ref="E31:E35" si="5">D31^2</f>
        <v>0.64000000000000112</v>
      </c>
      <c r="F31">
        <f>(K30*A31*K28^2)/(1+K30*A31*K28)</f>
        <v>8.2716473943144937</v>
      </c>
      <c r="G31">
        <f t="shared" ref="G31:G35" si="6">B31-F31</f>
        <v>0.2283526056855063</v>
      </c>
      <c r="H31">
        <f t="shared" ref="H31:H35" si="7">G31^2</f>
        <v>5.2144912523360329E-2</v>
      </c>
      <c r="J31" t="s">
        <v>10</v>
      </c>
      <c r="K31">
        <f>SUM(E29:E35)</f>
        <v>5.9299999999959789</v>
      </c>
    </row>
    <row r="32" spans="1:11" x14ac:dyDescent="0.35">
      <c r="A32">
        <v>15</v>
      </c>
      <c r="B32">
        <v>8.5</v>
      </c>
      <c r="C32">
        <f>K28*(1-EXP(-K29*A32))</f>
        <v>9.3000000000000007</v>
      </c>
      <c r="D32">
        <f t="shared" si="4"/>
        <v>-0.80000000000000071</v>
      </c>
      <c r="E32">
        <f t="shared" si="5"/>
        <v>0.64000000000000112</v>
      </c>
      <c r="F32">
        <f>(K30*A32*K28^2)/(1+K30*A32*K28)</f>
        <v>8.5881955398909646</v>
      </c>
      <c r="G32">
        <f t="shared" si="6"/>
        <v>-8.8195539890964625E-2</v>
      </c>
      <c r="H32">
        <f t="shared" si="7"/>
        <v>7.7784532566587327E-3</v>
      </c>
      <c r="J32" t="s">
        <v>11</v>
      </c>
      <c r="K32">
        <f>SUM(H29:H35)</f>
        <v>0.24469498235116421</v>
      </c>
    </row>
    <row r="33" spans="1:11" x14ac:dyDescent="0.35">
      <c r="A33">
        <v>20</v>
      </c>
      <c r="B33">
        <v>8.6</v>
      </c>
      <c r="C33">
        <f>K28*(1-EXP(-K29*A33))</f>
        <v>9.3000000000000007</v>
      </c>
      <c r="D33">
        <f t="shared" si="4"/>
        <v>-0.70000000000000107</v>
      </c>
      <c r="E33">
        <f t="shared" si="5"/>
        <v>0.49000000000000149</v>
      </c>
      <c r="F33">
        <f>(K30*A33*K28^2)/(1+K30*A33*K28)</f>
        <v>8.7557323500601516</v>
      </c>
      <c r="G33">
        <f t="shared" si="6"/>
        <v>-0.15573235006015196</v>
      </c>
      <c r="H33">
        <f t="shared" si="7"/>
        <v>2.4252564855257713E-2</v>
      </c>
      <c r="J33" t="s">
        <v>28</v>
      </c>
      <c r="K33" cm="1">
        <f t="array" ref="K33">SUM((B29:B35-AVERAGE(B29:B35))^2)</f>
        <v>64.420000000000016</v>
      </c>
    </row>
    <row r="34" spans="1:11" x14ac:dyDescent="0.35">
      <c r="A34">
        <v>25</v>
      </c>
      <c r="B34">
        <v>8.9</v>
      </c>
      <c r="C34">
        <f>K28*(1-EXP(-K29*A34))</f>
        <v>9.3000000000000007</v>
      </c>
      <c r="D34">
        <f t="shared" si="4"/>
        <v>-0.40000000000000036</v>
      </c>
      <c r="E34">
        <f t="shared" si="5"/>
        <v>0.16000000000000028</v>
      </c>
      <c r="F34">
        <f>(K30*A34*K28^2)/(1+K30*A34*K28)</f>
        <v>8.8594291388169797</v>
      </c>
      <c r="G34">
        <f t="shared" si="6"/>
        <v>4.0570861183020668E-2</v>
      </c>
      <c r="H34">
        <f t="shared" si="7"/>
        <v>1.6459947771319333E-3</v>
      </c>
      <c r="J34" t="s">
        <v>29</v>
      </c>
      <c r="K34" cm="1">
        <f t="array" ref="K34">SUM((B29:B35-AVERAGE(B29:B35))^2)</f>
        <v>64.420000000000016</v>
      </c>
    </row>
    <row r="35" spans="1:11" x14ac:dyDescent="0.35">
      <c r="A35">
        <v>30</v>
      </c>
      <c r="B35">
        <v>9.3000000000000007</v>
      </c>
      <c r="C35">
        <f>K28*(1-EXP(-K29*A35))</f>
        <v>9.3000000000000007</v>
      </c>
      <c r="D35">
        <f t="shared" si="4"/>
        <v>0</v>
      </c>
      <c r="E35">
        <f t="shared" si="5"/>
        <v>0</v>
      </c>
      <c r="F35">
        <f>(K30*A35*K28^2)/(1+K30*A35*K28)</f>
        <v>8.9299357604710998</v>
      </c>
      <c r="G35">
        <f t="shared" si="6"/>
        <v>0.37006423952890088</v>
      </c>
      <c r="H35">
        <f t="shared" si="7"/>
        <v>0.13694754137810372</v>
      </c>
      <c r="J35" t="s">
        <v>30</v>
      </c>
      <c r="K35">
        <f>1-(K31/K33)</f>
        <v>0.90794784228506709</v>
      </c>
    </row>
    <row r="36" spans="1:11" x14ac:dyDescent="0.35">
      <c r="J36" t="s">
        <v>31</v>
      </c>
      <c r="K36">
        <f>1-(K32/K34)</f>
        <v>0.9962015681100409</v>
      </c>
    </row>
    <row r="54" spans="1:11" x14ac:dyDescent="0.35">
      <c r="D54" s="6" t="s">
        <v>37</v>
      </c>
    </row>
    <row r="55" spans="1:11" x14ac:dyDescent="0.35">
      <c r="A55" t="s">
        <v>45</v>
      </c>
      <c r="B55" t="s">
        <v>47</v>
      </c>
      <c r="C55" t="s">
        <v>14</v>
      </c>
      <c r="D55" t="s">
        <v>2</v>
      </c>
      <c r="E55" t="s">
        <v>3</v>
      </c>
      <c r="F55" t="s">
        <v>15</v>
      </c>
      <c r="G55" t="s">
        <v>4</v>
      </c>
      <c r="H55" t="s">
        <v>5</v>
      </c>
    </row>
    <row r="56" spans="1:11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J56" t="s">
        <v>7</v>
      </c>
      <c r="K56">
        <v>95.7</v>
      </c>
    </row>
    <row r="57" spans="1:11" x14ac:dyDescent="0.35">
      <c r="A57">
        <v>5</v>
      </c>
      <c r="B57">
        <v>67.8</v>
      </c>
      <c r="C57">
        <f>K56*(1-EXP(-K57*A57))</f>
        <v>95.699999999984342</v>
      </c>
      <c r="D57">
        <f>B57-C57</f>
        <v>-27.899999999984345</v>
      </c>
      <c r="E57">
        <f>D57^2</f>
        <v>778.40999999912651</v>
      </c>
      <c r="F57">
        <f>(K58*A57*K56^2)/(1+K58*A57*K56)</f>
        <v>72.966441511085094</v>
      </c>
      <c r="G57">
        <f>B57-F57</f>
        <v>-5.1664415110850967</v>
      </c>
      <c r="H57">
        <f>G57^2</f>
        <v>26.692117887463258</v>
      </c>
      <c r="J57" t="s">
        <v>8</v>
      </c>
      <c r="K57">
        <v>5.8882084811432698</v>
      </c>
    </row>
    <row r="58" spans="1:11" x14ac:dyDescent="0.35">
      <c r="A58">
        <v>10</v>
      </c>
      <c r="B58">
        <v>88.2</v>
      </c>
      <c r="C58">
        <f>K56*(1-EXP(-K57*A58))</f>
        <v>95.7</v>
      </c>
      <c r="D58">
        <f t="shared" ref="D58:D62" si="8">B58-C58</f>
        <v>-7.5</v>
      </c>
      <c r="E58">
        <f t="shared" ref="E58:E62" si="9">D58^2</f>
        <v>56.25</v>
      </c>
      <c r="F58">
        <f>(K58*A58*K56^2)/(1+K58*A58*K56)</f>
        <v>82.801159377657399</v>
      </c>
      <c r="G58">
        <f t="shared" ref="G58:G62" si="10">B58-F58</f>
        <v>5.398840622342604</v>
      </c>
      <c r="H58">
        <f t="shared" ref="H58:H62" si="11">G58^2</f>
        <v>29.147480065456676</v>
      </c>
      <c r="J58" t="s">
        <v>9</v>
      </c>
      <c r="K58">
        <v>6.7077026672139372E-3</v>
      </c>
    </row>
    <row r="59" spans="1:11" x14ac:dyDescent="0.35">
      <c r="A59">
        <v>15</v>
      </c>
      <c r="B59">
        <v>87</v>
      </c>
      <c r="C59">
        <f>K56*(1-EXP(-K57*A59))</f>
        <v>95.7</v>
      </c>
      <c r="D59">
        <f t="shared" si="8"/>
        <v>-8.7000000000000028</v>
      </c>
      <c r="E59">
        <f t="shared" si="9"/>
        <v>75.690000000000055</v>
      </c>
      <c r="F59">
        <f>(K58*A59*K56^2)/(1+K58*A59*K56)</f>
        <v>86.696252164944198</v>
      </c>
      <c r="G59">
        <f t="shared" si="10"/>
        <v>0.30374783505580183</v>
      </c>
      <c r="H59">
        <f t="shared" si="11"/>
        <v>9.2262747301086592E-2</v>
      </c>
      <c r="J59" t="s">
        <v>10</v>
      </c>
      <c r="K59">
        <f>SUM(E56:E62)</f>
        <v>978.12999999912643</v>
      </c>
    </row>
    <row r="60" spans="1:11" x14ac:dyDescent="0.35">
      <c r="A60">
        <v>20</v>
      </c>
      <c r="B60">
        <v>89.4</v>
      </c>
      <c r="C60">
        <f>K56*(1-EXP(-K57*A60))</f>
        <v>95.7</v>
      </c>
      <c r="D60">
        <f t="shared" si="8"/>
        <v>-6.2999999999999972</v>
      </c>
      <c r="E60">
        <f t="shared" si="9"/>
        <v>39.689999999999962</v>
      </c>
      <c r="F60">
        <f>(K58*A60*K56^2)/(1+K58*A60*K56)</f>
        <v>88.784532045270865</v>
      </c>
      <c r="G60">
        <f t="shared" si="10"/>
        <v>0.61546795472914084</v>
      </c>
      <c r="H60">
        <f t="shared" si="11"/>
        <v>0.37880080329847177</v>
      </c>
      <c r="J60" t="s">
        <v>11</v>
      </c>
      <c r="K60">
        <f>SUM(H56:H62)</f>
        <v>78.726093982644926</v>
      </c>
    </row>
    <row r="61" spans="1:11" x14ac:dyDescent="0.35">
      <c r="A61">
        <v>25</v>
      </c>
      <c r="B61">
        <v>90.4</v>
      </c>
      <c r="C61">
        <f>K56*(1-EXP(-K57*A61))</f>
        <v>95.7</v>
      </c>
      <c r="D61">
        <f t="shared" si="8"/>
        <v>-5.2999999999999972</v>
      </c>
      <c r="E61">
        <f t="shared" si="9"/>
        <v>28.089999999999971</v>
      </c>
      <c r="F61">
        <f>(K58*A61*K56^2)/(1+K58*A61*K56)</f>
        <v>90.086497110943867</v>
      </c>
      <c r="G61">
        <f t="shared" si="10"/>
        <v>0.31350288905613866</v>
      </c>
      <c r="H61">
        <f t="shared" si="11"/>
        <v>9.8284061446545584E-2</v>
      </c>
      <c r="J61" t="s">
        <v>28</v>
      </c>
      <c r="K61" cm="1">
        <f t="array" ref="K61">SUM((B56:B62-AVERAGE(B56:B62))^2)</f>
        <v>6862.0542857142864</v>
      </c>
    </row>
    <row r="62" spans="1:11" x14ac:dyDescent="0.35">
      <c r="A62">
        <v>30</v>
      </c>
      <c r="B62">
        <v>95.7</v>
      </c>
      <c r="C62">
        <f>K56*(1-EXP(-K57*A62))</f>
        <v>95.7</v>
      </c>
      <c r="D62">
        <f t="shared" si="8"/>
        <v>0</v>
      </c>
      <c r="E62">
        <f t="shared" si="9"/>
        <v>0</v>
      </c>
      <c r="F62">
        <f>(K58*A62*K56^2)/(1+K58*A62*K56)</f>
        <v>90.975897077996834</v>
      </c>
      <c r="G62">
        <f t="shared" si="10"/>
        <v>4.7241029220031692</v>
      </c>
      <c r="H62">
        <f t="shared" si="11"/>
        <v>22.317148417678879</v>
      </c>
      <c r="J62" t="s">
        <v>29</v>
      </c>
      <c r="K62" cm="1">
        <f t="array" ref="K62">SUM((B56:B62-AVERAGE(B56:B62))^2)</f>
        <v>6862.0542857142864</v>
      </c>
    </row>
    <row r="63" spans="1:11" x14ac:dyDescent="0.35">
      <c r="J63" t="s">
        <v>30</v>
      </c>
      <c r="K63">
        <f>1-(K59/K61)</f>
        <v>0.8574581372759702</v>
      </c>
    </row>
    <row r="64" spans="1:11" x14ac:dyDescent="0.35">
      <c r="J64" t="s">
        <v>31</v>
      </c>
      <c r="K64">
        <f>1-(K60/K62)</f>
        <v>0.9885273285950914</v>
      </c>
    </row>
    <row r="80" spans="4:4" x14ac:dyDescent="0.35">
      <c r="D80" t="s">
        <v>38</v>
      </c>
    </row>
    <row r="81" spans="1:11" x14ac:dyDescent="0.35">
      <c r="A81" t="s">
        <v>45</v>
      </c>
      <c r="B81" t="s">
        <v>47</v>
      </c>
      <c r="C81" t="s">
        <v>14</v>
      </c>
      <c r="D81" t="s">
        <v>2</v>
      </c>
      <c r="E81" t="s">
        <v>3</v>
      </c>
      <c r="F81" t="s">
        <v>33</v>
      </c>
      <c r="G81" t="s">
        <v>4</v>
      </c>
      <c r="H81" t="s">
        <v>5</v>
      </c>
      <c r="J81" t="s">
        <v>7</v>
      </c>
      <c r="K81">
        <v>5.09</v>
      </c>
    </row>
    <row r="82" spans="1:11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J82" t="s">
        <v>8</v>
      </c>
      <c r="K82" s="8">
        <v>5.415443129999538</v>
      </c>
    </row>
    <row r="83" spans="1:11" x14ac:dyDescent="0.35">
      <c r="A83">
        <v>5</v>
      </c>
      <c r="B83">
        <v>3.59</v>
      </c>
      <c r="C83">
        <f>K81*(1-EXP(-K82*A83))</f>
        <v>5.0899999999911438</v>
      </c>
      <c r="D83">
        <f>B83-C83</f>
        <v>-1.499999999991144</v>
      </c>
      <c r="E83">
        <f>D83^2</f>
        <v>2.2499999999734319</v>
      </c>
      <c r="F83">
        <f>(K83*A83*K81^2)/(1+K83*A83*K81)</f>
        <v>3.4393563493697279</v>
      </c>
      <c r="G83">
        <f>B83-F83</f>
        <v>0.15064365063027196</v>
      </c>
      <c r="H83">
        <f>G83^2</f>
        <v>2.2693509475215437E-2</v>
      </c>
      <c r="J83" t="s">
        <v>9</v>
      </c>
      <c r="K83">
        <v>8.1872125012273436E-2</v>
      </c>
    </row>
    <row r="84" spans="1:11" x14ac:dyDescent="0.35">
      <c r="A84">
        <v>10</v>
      </c>
      <c r="B84">
        <v>3.69</v>
      </c>
      <c r="C84">
        <f>K81*(1-EXP(-K82*A84))</f>
        <v>5.09</v>
      </c>
      <c r="D84">
        <f t="shared" ref="D84:D88" si="12">B84-C84</f>
        <v>-1.4</v>
      </c>
      <c r="E84">
        <f t="shared" ref="E84:E88" si="13">D84^2</f>
        <v>1.9599999999999997</v>
      </c>
      <c r="F84">
        <f>(K83*A84*K81^2)/(1+K83*A84*K81)</f>
        <v>4.1049577720094987</v>
      </c>
      <c r="G84">
        <f t="shared" ref="G84:G88" si="14">B84-F84</f>
        <v>-0.41495777200949879</v>
      </c>
      <c r="H84">
        <f t="shared" ref="H84:H88" si="15">G84^2</f>
        <v>0.17218995255108718</v>
      </c>
      <c r="J84" t="s">
        <v>10</v>
      </c>
      <c r="K84">
        <f>SUM(E82:E88)</f>
        <v>5.1699999999734301</v>
      </c>
    </row>
    <row r="85" spans="1:11" x14ac:dyDescent="0.35">
      <c r="A85">
        <v>15</v>
      </c>
      <c r="B85">
        <v>4.29</v>
      </c>
      <c r="C85">
        <f>K81*(1-EXP(-K82*A85))</f>
        <v>5.09</v>
      </c>
      <c r="D85">
        <f t="shared" si="12"/>
        <v>-0.79999999999999982</v>
      </c>
      <c r="E85">
        <f t="shared" si="13"/>
        <v>0.63999999999999968</v>
      </c>
      <c r="F85">
        <f>(K83*A85*K81^2)/(1+K83*A85*K81)</f>
        <v>4.388021734401482</v>
      </c>
      <c r="G85">
        <f t="shared" si="14"/>
        <v>-9.8021734401481986E-2</v>
      </c>
      <c r="H85">
        <f t="shared" si="15"/>
        <v>9.6082604150746764E-3</v>
      </c>
      <c r="J85" t="s">
        <v>11</v>
      </c>
      <c r="K85">
        <f>SUM(H82:H88)</f>
        <v>0.36981235950503444</v>
      </c>
    </row>
    <row r="86" spans="1:11" x14ac:dyDescent="0.35">
      <c r="A86">
        <v>20</v>
      </c>
      <c r="B86">
        <v>4.6900000000000004</v>
      </c>
      <c r="C86">
        <f>K81*(1-EXP(-K82*A86))</f>
        <v>5.09</v>
      </c>
      <c r="D86">
        <f t="shared" si="12"/>
        <v>-0.39999999999999947</v>
      </c>
      <c r="E86">
        <f t="shared" si="13"/>
        <v>0.15999999999999959</v>
      </c>
      <c r="F86">
        <f>(K83*A86*K81^2)/(1+K83*A86*K81)</f>
        <v>4.544715827435942</v>
      </c>
      <c r="G86">
        <f t="shared" si="14"/>
        <v>0.14528417256405834</v>
      </c>
      <c r="H86">
        <f t="shared" si="15"/>
        <v>2.1107490797623082E-2</v>
      </c>
      <c r="J86" t="s">
        <v>28</v>
      </c>
      <c r="K86" cm="1">
        <f t="array" ref="K86">SUM((B82:B88-AVERAGE(B82:B88))^2)</f>
        <v>17.939800000000002</v>
      </c>
    </row>
    <row r="87" spans="1:11" x14ac:dyDescent="0.35">
      <c r="A87">
        <v>25</v>
      </c>
      <c r="B87">
        <v>4.6900000000000004</v>
      </c>
      <c r="C87">
        <f>K81*(1-EXP(-K82*A87))</f>
        <v>5.09</v>
      </c>
      <c r="D87">
        <f t="shared" si="12"/>
        <v>-0.39999999999999947</v>
      </c>
      <c r="E87">
        <f t="shared" si="13"/>
        <v>0.15999999999999959</v>
      </c>
      <c r="F87">
        <f>(K83*A87*K81^2)/(1+K83*A87*K81)</f>
        <v>4.6442215446130941</v>
      </c>
      <c r="G87">
        <f t="shared" si="14"/>
        <v>4.577845538690628E-2</v>
      </c>
      <c r="H87">
        <f t="shared" si="15"/>
        <v>2.0956669776109687E-3</v>
      </c>
      <c r="J87" t="s">
        <v>29</v>
      </c>
      <c r="K87" cm="1">
        <f t="array" ref="K87">SUM((B82:B88-AVERAGE(B82:B88))^2)</f>
        <v>17.939800000000002</v>
      </c>
    </row>
    <row r="88" spans="1:11" x14ac:dyDescent="0.35">
      <c r="A88">
        <v>30</v>
      </c>
      <c r="B88">
        <v>5.09</v>
      </c>
      <c r="C88">
        <f>K81*(1-EXP(-K82*A88))</f>
        <v>5.09</v>
      </c>
      <c r="D88">
        <f t="shared" si="12"/>
        <v>0</v>
      </c>
      <c r="E88">
        <f t="shared" si="13"/>
        <v>0</v>
      </c>
      <c r="F88">
        <f>(K83*A88*K81^2)/(1+K83*A88*K81)</f>
        <v>4.7130152797679683</v>
      </c>
      <c r="G88">
        <f t="shared" si="14"/>
        <v>0.37698472023203156</v>
      </c>
      <c r="H88">
        <f t="shared" si="15"/>
        <v>0.14211747928842311</v>
      </c>
      <c r="J88" t="s">
        <v>30</v>
      </c>
      <c r="K88">
        <f>1-(K84/K86)</f>
        <v>0.71181395556397342</v>
      </c>
    </row>
    <row r="89" spans="1:11" x14ac:dyDescent="0.35">
      <c r="J89" t="s">
        <v>31</v>
      </c>
      <c r="K89">
        <f>1-(K85/K87)</f>
        <v>0.9793859262920972</v>
      </c>
    </row>
    <row r="107" spans="1:11" x14ac:dyDescent="0.35">
      <c r="D107" s="6" t="s">
        <v>39</v>
      </c>
    </row>
    <row r="108" spans="1:11" x14ac:dyDescent="0.35">
      <c r="A108" t="s">
        <v>45</v>
      </c>
      <c r="B108" t="s">
        <v>47</v>
      </c>
      <c r="C108" t="s">
        <v>14</v>
      </c>
      <c r="D108" t="s">
        <v>2</v>
      </c>
      <c r="E108" t="s">
        <v>3</v>
      </c>
      <c r="F108" t="s">
        <v>15</v>
      </c>
      <c r="G108" t="s">
        <v>4</v>
      </c>
      <c r="H108" t="s">
        <v>5</v>
      </c>
      <c r="J108" t="s">
        <v>7</v>
      </c>
      <c r="K108">
        <v>17.5</v>
      </c>
    </row>
    <row r="109" spans="1:11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J109" t="s">
        <v>8</v>
      </c>
      <c r="K109">
        <v>0.38593791334143673</v>
      </c>
    </row>
    <row r="110" spans="1:11" x14ac:dyDescent="0.35">
      <c r="A110">
        <v>5</v>
      </c>
      <c r="B110">
        <v>15.5</v>
      </c>
      <c r="C110">
        <f>K108*(1-EXP(-K109*A110))</f>
        <v>14.959117874549973</v>
      </c>
      <c r="D110">
        <f>B110-C110</f>
        <v>0.54088212545002712</v>
      </c>
      <c r="E110">
        <f>D110^2</f>
        <v>0.29255347363133888</v>
      </c>
      <c r="F110">
        <f>(K110*A110*K108^2)/(1+K110*A110*K108)</f>
        <v>15.166965271888056</v>
      </c>
      <c r="G110">
        <f>B110-F110</f>
        <v>0.33303472811194368</v>
      </c>
      <c r="H110">
        <f>G110^2</f>
        <v>0.11091213012859624</v>
      </c>
      <c r="J110" t="s">
        <v>9</v>
      </c>
      <c r="K110">
        <v>7.4296684861056936E-2</v>
      </c>
    </row>
    <row r="111" spans="1:11" x14ac:dyDescent="0.35">
      <c r="A111">
        <v>10</v>
      </c>
      <c r="B111">
        <v>15.6</v>
      </c>
      <c r="C111">
        <f>K108*(1-EXP(-K109*A111))</f>
        <v>17.131081029975345</v>
      </c>
      <c r="D111">
        <f t="shared" ref="D111:D115" si="16">B111-C111</f>
        <v>-1.5310810299753452</v>
      </c>
      <c r="E111">
        <f t="shared" ref="E111:E115" si="17">D111^2</f>
        <v>2.3442091203503641</v>
      </c>
      <c r="F111">
        <f>(K110*A111*K108^2)/(1+K110*A111*K108)</f>
        <v>16.250171391736405</v>
      </c>
      <c r="G111">
        <f t="shared" ref="G111:G115" si="18">B111-F111</f>
        <v>-0.65017139173640537</v>
      </c>
      <c r="H111">
        <f t="shared" ref="H111:H115" si="19">G111^2</f>
        <v>0.4227228386324543</v>
      </c>
      <c r="J111" t="s">
        <v>10</v>
      </c>
      <c r="K111">
        <f>SUM(E109:E115)</f>
        <v>4.8827781239305992</v>
      </c>
    </row>
    <row r="112" spans="1:11" x14ac:dyDescent="0.35">
      <c r="A112">
        <v>15</v>
      </c>
      <c r="B112">
        <v>16</v>
      </c>
      <c r="C112">
        <f>K108*(1-EXP(-K109*A112))</f>
        <v>17.446435450475711</v>
      </c>
      <c r="D112">
        <f t="shared" si="16"/>
        <v>-1.4464354504757111</v>
      </c>
      <c r="E112">
        <f t="shared" si="17"/>
        <v>2.0921755123928731</v>
      </c>
      <c r="F112">
        <f>(K110*A112*K108^2)/(1+K110*A112*K108)</f>
        <v>16.646461365858396</v>
      </c>
      <c r="G112">
        <f t="shared" si="18"/>
        <v>-0.64646136585839642</v>
      </c>
      <c r="H112">
        <f t="shared" si="19"/>
        <v>0.41791229754750348</v>
      </c>
      <c r="J112" t="s">
        <v>11</v>
      </c>
      <c r="K112">
        <f>SUM(H109:H115)</f>
        <v>1.4772412870535023</v>
      </c>
    </row>
    <row r="113" spans="1:11" x14ac:dyDescent="0.35">
      <c r="A113">
        <v>20</v>
      </c>
      <c r="B113">
        <v>17.100000000000001</v>
      </c>
      <c r="C113">
        <f>K108*(1-EXP(-K109*A113))</f>
        <v>17.492222788203197</v>
      </c>
      <c r="D113">
        <f t="shared" si="16"/>
        <v>-0.39222278820319545</v>
      </c>
      <c r="E113">
        <f t="shared" si="17"/>
        <v>0.15383871558588871</v>
      </c>
      <c r="F113">
        <f>(K110*A113*K108^2)/(1+K110*A113*K108)</f>
        <v>16.851944012646758</v>
      </c>
      <c r="G113">
        <f t="shared" si="18"/>
        <v>0.24805598735324352</v>
      </c>
      <c r="H113">
        <f t="shared" si="19"/>
        <v>6.1531772861792511E-2</v>
      </c>
      <c r="J113" t="s">
        <v>28</v>
      </c>
      <c r="K113" cm="1">
        <f t="array" ref="K113">SUM((B109:B115-AVERAGE(B109:B115))^2)</f>
        <v>238.71428571428569</v>
      </c>
    </row>
    <row r="114" spans="1:11" x14ac:dyDescent="0.35">
      <c r="A114">
        <v>25</v>
      </c>
      <c r="B114">
        <v>17.5</v>
      </c>
      <c r="C114">
        <f>K108*(1-EXP(-K109*A114))</f>
        <v>17.49887080123198</v>
      </c>
      <c r="D114">
        <f t="shared" si="16"/>
        <v>1.1291987680195348E-3</v>
      </c>
      <c r="E114">
        <f t="shared" si="17"/>
        <v>1.2750898576968352E-6</v>
      </c>
      <c r="F114">
        <f>(K110*A114*K108^2)/(1+K110*A114*K108)</f>
        <v>16.977686773388498</v>
      </c>
      <c r="G114">
        <f t="shared" si="18"/>
        <v>0.52231322661150159</v>
      </c>
      <c r="H114">
        <f t="shared" si="19"/>
        <v>0.27281110669331782</v>
      </c>
      <c r="J114" t="s">
        <v>29</v>
      </c>
      <c r="K114" cm="1">
        <f t="array" ref="K114">SUM((B109:B115-AVERAGE(B109:B115))^2)</f>
        <v>238.71428571428569</v>
      </c>
    </row>
    <row r="115" spans="1:11" x14ac:dyDescent="0.35">
      <c r="A115">
        <v>30</v>
      </c>
      <c r="B115">
        <v>17.5</v>
      </c>
      <c r="C115">
        <f>K108*(1-EXP(-K109*A115))</f>
        <v>17.499836047944815</v>
      </c>
      <c r="D115">
        <f t="shared" si="16"/>
        <v>1.6395205518549005E-4</v>
      </c>
      <c r="E115">
        <f t="shared" si="17"/>
        <v>2.6880276399545976E-8</v>
      </c>
      <c r="F115">
        <f>(K110*A115*K108^2)/(1+K110*A115*K108)</f>
        <v>17.062562986031317</v>
      </c>
      <c r="G115">
        <f t="shared" si="18"/>
        <v>0.43743701396868317</v>
      </c>
      <c r="H115">
        <f t="shared" si="19"/>
        <v>0.19135114118983793</v>
      </c>
      <c r="J115" t="s">
        <v>30</v>
      </c>
      <c r="K115">
        <f>1-(K111/K113)</f>
        <v>0.97954551354427633</v>
      </c>
    </row>
    <row r="116" spans="1:11" x14ac:dyDescent="0.35">
      <c r="J116" t="s">
        <v>31</v>
      </c>
      <c r="K116">
        <f>1-(K112/K114)</f>
        <v>0.99381167623616129</v>
      </c>
    </row>
    <row r="135" spans="1:11" x14ac:dyDescent="0.35">
      <c r="D135" s="6" t="s">
        <v>41</v>
      </c>
    </row>
    <row r="136" spans="1:11" x14ac:dyDescent="0.35">
      <c r="A136" t="s">
        <v>45</v>
      </c>
      <c r="B136" t="s">
        <v>47</v>
      </c>
      <c r="C136" t="s">
        <v>14</v>
      </c>
      <c r="D136" t="s">
        <v>2</v>
      </c>
      <c r="E136" t="s">
        <v>3</v>
      </c>
      <c r="F136" t="s">
        <v>15</v>
      </c>
      <c r="G136" t="s">
        <v>4</v>
      </c>
      <c r="H136" t="s">
        <v>5</v>
      </c>
      <c r="J136" t="s">
        <v>7</v>
      </c>
      <c r="K136">
        <v>27.2</v>
      </c>
    </row>
    <row r="137" spans="1:11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J137" t="s">
        <v>8</v>
      </c>
      <c r="K137">
        <v>0.1763554825748786</v>
      </c>
    </row>
    <row r="138" spans="1:11" x14ac:dyDescent="0.35">
      <c r="A138">
        <v>5</v>
      </c>
      <c r="B138">
        <v>19.2</v>
      </c>
      <c r="C138">
        <f>K136*(1-EXP(-K137*A138))</f>
        <v>15.937939932891439</v>
      </c>
      <c r="D138">
        <f>B138-C138</f>
        <v>3.2620600671085604</v>
      </c>
      <c r="E138">
        <f>D138^2</f>
        <v>10.641035881424306</v>
      </c>
      <c r="F138">
        <f>(K138*A138*K136^2)/(1+K138*A138*K136)</f>
        <v>18.723564557683762</v>
      </c>
      <c r="G138">
        <f>B138-F138</f>
        <v>0.47643544231623736</v>
      </c>
      <c r="H138">
        <f>G138^2</f>
        <v>0.22699073069506873</v>
      </c>
      <c r="J138" t="s">
        <v>9</v>
      </c>
      <c r="K138">
        <v>1.624188253935174E-2</v>
      </c>
    </row>
    <row r="139" spans="1:11" x14ac:dyDescent="0.35">
      <c r="A139">
        <v>10</v>
      </c>
      <c r="B139">
        <v>20.100000000000001</v>
      </c>
      <c r="C139">
        <f>K136*(1-EXP(-K137*A139))</f>
        <v>22.536985406060243</v>
      </c>
      <c r="D139">
        <f t="shared" ref="D139:D143" si="20">B139-C139</f>
        <v>-2.4369854060602414</v>
      </c>
      <c r="E139">
        <f t="shared" ref="E139:E143" si="21">D139^2</f>
        <v>5.9388978693505994</v>
      </c>
      <c r="F139">
        <f>(K138*A139*K136^2)/(1+K138*A139*K136)</f>
        <v>22.17950461268309</v>
      </c>
      <c r="G139">
        <f t="shared" ref="G139:G143" si="22">B139-F139</f>
        <v>-2.0795046126830883</v>
      </c>
      <c r="H139">
        <f t="shared" ref="H139:H143" si="23">G139^2</f>
        <v>4.3243394341702412</v>
      </c>
      <c r="J139" t="s">
        <v>10</v>
      </c>
      <c r="K139">
        <f>SUM(E137:E143)</f>
        <v>25.507416770587351</v>
      </c>
    </row>
    <row r="140" spans="1:11" x14ac:dyDescent="0.35">
      <c r="A140">
        <v>15</v>
      </c>
      <c r="B140">
        <v>24.5</v>
      </c>
      <c r="C140">
        <f>K136*(1-EXP(-K137*A140))</f>
        <v>25.269295939310538</v>
      </c>
      <c r="D140">
        <f t="shared" si="20"/>
        <v>-0.7692959393105383</v>
      </c>
      <c r="E140">
        <f t="shared" si="21"/>
        <v>0.59181624223968343</v>
      </c>
      <c r="F140">
        <f>(K138*A140*K136^2)/(1+K138*A140*K136)</f>
        <v>23.63357644514187</v>
      </c>
      <c r="G140">
        <f t="shared" si="22"/>
        <v>0.86642355485813027</v>
      </c>
      <c r="H140">
        <f t="shared" si="23"/>
        <v>0.7506897764129995</v>
      </c>
      <c r="J140" t="s">
        <v>11</v>
      </c>
      <c r="K140">
        <f>SUM(H137:H143)</f>
        <v>9.0064114460990901</v>
      </c>
    </row>
    <row r="141" spans="1:11" x14ac:dyDescent="0.35">
      <c r="A141">
        <v>20</v>
      </c>
      <c r="B141">
        <v>24.5</v>
      </c>
      <c r="C141">
        <f>K136*(1-EXP(-K137*A141))</f>
        <v>26.400599077084735</v>
      </c>
      <c r="D141">
        <f t="shared" si="20"/>
        <v>-1.9005990770847347</v>
      </c>
      <c r="E141">
        <f t="shared" si="21"/>
        <v>3.6122768518153454</v>
      </c>
      <c r="F141">
        <f>(K138*A141*K136^2)/(1+K138*A141*K136)</f>
        <v>24.434531297830286</v>
      </c>
      <c r="G141">
        <f t="shared" si="22"/>
        <v>6.5468702169713566E-2</v>
      </c>
      <c r="H141">
        <f t="shared" si="23"/>
        <v>4.286150963786658E-3</v>
      </c>
      <c r="J141" t="s">
        <v>28</v>
      </c>
      <c r="K141" cm="1">
        <f t="array" ref="K141">SUM((B137:B143-AVERAGE(B137:B143))^2)</f>
        <v>515.07428571428579</v>
      </c>
    </row>
    <row r="142" spans="1:11" x14ac:dyDescent="0.35">
      <c r="A142">
        <v>25</v>
      </c>
      <c r="B142">
        <v>24.7</v>
      </c>
      <c r="C142">
        <f>K136*(1-EXP(-K137*A142))</f>
        <v>26.869010984868613</v>
      </c>
      <c r="D142">
        <f t="shared" si="20"/>
        <v>-2.1690109848686134</v>
      </c>
      <c r="E142">
        <f t="shared" si="21"/>
        <v>4.7046086524807125</v>
      </c>
      <c r="F142">
        <f>(K138*A142*K136^2)/(1+K138*A142*K136)</f>
        <v>24.941704107297259</v>
      </c>
      <c r="G142">
        <f t="shared" si="22"/>
        <v>-0.24170410729725944</v>
      </c>
      <c r="H142">
        <f t="shared" si="23"/>
        <v>5.8420875484365108E-2</v>
      </c>
      <c r="J142" t="s">
        <v>29</v>
      </c>
      <c r="K142" cm="1">
        <f t="array" ref="K142">SUM((B137:B143-AVERAGE(B137:B143))^2)</f>
        <v>515.07428571428579</v>
      </c>
    </row>
    <row r="143" spans="1:11" x14ac:dyDescent="0.35">
      <c r="A143">
        <v>30</v>
      </c>
      <c r="B143">
        <v>27.2</v>
      </c>
      <c r="C143">
        <f>K136*(1-EXP(-K137*A143))</f>
        <v>27.062955214339603</v>
      </c>
      <c r="D143">
        <f t="shared" si="20"/>
        <v>0.13704478566039668</v>
      </c>
      <c r="E143">
        <f t="shared" si="21"/>
        <v>1.8781273276704067E-2</v>
      </c>
      <c r="F143">
        <f>(K138*A143*K136^2)/(1+K138*A143*K136)</f>
        <v>25.291680194943041</v>
      </c>
      <c r="G143">
        <f t="shared" si="22"/>
        <v>1.9083198050569585</v>
      </c>
      <c r="H143">
        <f t="shared" si="23"/>
        <v>3.6416844783726283</v>
      </c>
      <c r="J143" t="s">
        <v>30</v>
      </c>
      <c r="K143">
        <f>1-(K139/K141)</f>
        <v>0.95047817862773987</v>
      </c>
    </row>
    <row r="144" spans="1:11" x14ac:dyDescent="0.35">
      <c r="J144" t="s">
        <v>31</v>
      </c>
      <c r="K144">
        <f>1-(K140/K142)</f>
        <v>0.98251434463747434</v>
      </c>
    </row>
    <row r="162" spans="1:11" x14ac:dyDescent="0.35">
      <c r="D162" s="6" t="s">
        <v>42</v>
      </c>
    </row>
    <row r="163" spans="1:11" x14ac:dyDescent="0.35">
      <c r="A163" t="s">
        <v>45</v>
      </c>
      <c r="B163" t="s">
        <v>47</v>
      </c>
      <c r="C163" t="s">
        <v>14</v>
      </c>
      <c r="D163" t="s">
        <v>2</v>
      </c>
      <c r="E163" t="s">
        <v>3</v>
      </c>
      <c r="F163" t="s">
        <v>15</v>
      </c>
      <c r="G163" t="s">
        <v>4</v>
      </c>
      <c r="H163" t="s">
        <v>5</v>
      </c>
      <c r="J163" t="s">
        <v>7</v>
      </c>
      <c r="K163">
        <v>8.89</v>
      </c>
    </row>
    <row r="164" spans="1:11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J164" t="s">
        <v>8</v>
      </c>
      <c r="K164">
        <v>0.1464193332252782</v>
      </c>
    </row>
    <row r="165" spans="1:11" x14ac:dyDescent="0.35">
      <c r="A165">
        <v>5</v>
      </c>
      <c r="B165">
        <v>4.79</v>
      </c>
      <c r="C165">
        <f>K163*(1-EXP(-K164*A165))</f>
        <v>4.6148021441008131</v>
      </c>
      <c r="D165">
        <f>B165-C165</f>
        <v>0.17519785589918691</v>
      </c>
      <c r="E165">
        <f>D165^2</f>
        <v>3.0694288711672259E-2</v>
      </c>
      <c r="F165">
        <f>(K165*A165*K163^2)/(1+K165*A165*K163)</f>
        <v>5.6507770995112629</v>
      </c>
      <c r="G165">
        <f>B165-F165</f>
        <v>-0.86077709951126291</v>
      </c>
      <c r="H165">
        <f>G165^2</f>
        <v>0.74093721504302257</v>
      </c>
      <c r="J165" t="s">
        <v>9</v>
      </c>
      <c r="K165">
        <v>3.9246016041558321E-2</v>
      </c>
    </row>
    <row r="166" spans="1:11" x14ac:dyDescent="0.35">
      <c r="A166">
        <v>10</v>
      </c>
      <c r="B166">
        <v>6.89</v>
      </c>
      <c r="C166">
        <f>K163*(1-EXP(-K164*A166))</f>
        <v>6.8340588630950503</v>
      </c>
      <c r="D166">
        <f t="shared" ref="D166:D170" si="24">B166-C166</f>
        <v>5.5941136904949396E-2</v>
      </c>
      <c r="E166">
        <f t="shared" ref="E166:E170" si="25">D166^2</f>
        <v>3.1294107982182914E-3</v>
      </c>
      <c r="F166">
        <f>(K165*A166*K163^2)/(1+K165*A166*K163)</f>
        <v>6.9095906045274038</v>
      </c>
      <c r="G166">
        <f t="shared" ref="G166:G170" si="26">B166-F166</f>
        <v>-1.9590604527404132E-2</v>
      </c>
      <c r="H166">
        <f t="shared" ref="H166:H170" si="27">G166^2</f>
        <v>3.8379178574914725E-4</v>
      </c>
      <c r="J166" t="s">
        <v>10</v>
      </c>
      <c r="K166">
        <f>SUM(E164:E170)</f>
        <v>0.14851391360073404</v>
      </c>
    </row>
    <row r="167" spans="1:11" x14ac:dyDescent="0.35">
      <c r="A167">
        <v>15</v>
      </c>
      <c r="B167">
        <v>7.59</v>
      </c>
      <c r="C167">
        <f>K163*(1-EXP(-K164*A167))</f>
        <v>7.9012986343812175</v>
      </c>
      <c r="D167">
        <f t="shared" si="24"/>
        <v>-0.31129863438121763</v>
      </c>
      <c r="E167">
        <f t="shared" si="25"/>
        <v>9.6906839767611011E-2</v>
      </c>
      <c r="F167">
        <f>(K165*A167*K163^2)/(1+K165*A167*K163)</f>
        <v>7.4638249120645241</v>
      </c>
      <c r="G167">
        <f t="shared" si="26"/>
        <v>0.12617508793547572</v>
      </c>
      <c r="H167">
        <f t="shared" si="27"/>
        <v>1.5920152815525029E-2</v>
      </c>
      <c r="J167" t="s">
        <v>11</v>
      </c>
      <c r="K167">
        <f>SUM(H164:H170)</f>
        <v>2.1131468940295441</v>
      </c>
    </row>
    <row r="168" spans="1:11" x14ac:dyDescent="0.35">
      <c r="A168">
        <v>20</v>
      </c>
      <c r="B168">
        <v>8.39</v>
      </c>
      <c r="C168">
        <f>K163*(1-EXP(-K164*A168))</f>
        <v>8.4145338629451061</v>
      </c>
      <c r="D168">
        <f t="shared" si="24"/>
        <v>-2.4533862945105511E-2</v>
      </c>
      <c r="E168">
        <f t="shared" si="25"/>
        <v>6.0191043100922125E-4</v>
      </c>
      <c r="F168">
        <f>(K165*A168*K163^2)/(1+K165*A168*K163)</f>
        <v>7.7756774858010322</v>
      </c>
      <c r="G168">
        <f t="shared" si="26"/>
        <v>0.61432251419896833</v>
      </c>
      <c r="H168">
        <f t="shared" si="27"/>
        <v>0.37739215145174165</v>
      </c>
      <c r="J168" t="s">
        <v>28</v>
      </c>
      <c r="K168" cm="1">
        <f t="array" ref="K168">SUM((B164:B170-AVERAGE(B164:B170))^2)</f>
        <v>60.14808571428572</v>
      </c>
    </row>
    <row r="169" spans="1:11" x14ac:dyDescent="0.35">
      <c r="A169">
        <v>25</v>
      </c>
      <c r="B169">
        <v>8.59</v>
      </c>
      <c r="C169">
        <f>K163*(1-EXP(-K164*A169))</f>
        <v>8.6613485028470478</v>
      </c>
      <c r="D169">
        <f t="shared" si="24"/>
        <v>-7.1348502847047968E-2</v>
      </c>
      <c r="E169">
        <f t="shared" si="25"/>
        <v>5.090608858515212E-3</v>
      </c>
      <c r="F169">
        <f>(K165*A169*K163^2)/(1+K165*A169*K163)</f>
        <v>7.9756192656062996</v>
      </c>
      <c r="G169">
        <f t="shared" si="26"/>
        <v>0.61438073439370022</v>
      </c>
      <c r="H169">
        <f t="shared" si="27"/>
        <v>0.37746368679414244</v>
      </c>
      <c r="J169" t="s">
        <v>29</v>
      </c>
      <c r="K169" cm="1">
        <f t="array" ref="K169">SUM((B164:B170-AVERAGE(B164:B170))^2)</f>
        <v>60.14808571428572</v>
      </c>
    </row>
    <row r="170" spans="1:11" x14ac:dyDescent="0.35">
      <c r="A170">
        <v>30</v>
      </c>
      <c r="B170">
        <v>8.89</v>
      </c>
      <c r="C170">
        <f>K163*(1-EXP(-K164*A170))</f>
        <v>8.7800415758856651</v>
      </c>
      <c r="D170">
        <f t="shared" si="24"/>
        <v>0.10995842411433543</v>
      </c>
      <c r="E170">
        <f t="shared" si="25"/>
        <v>1.2090855033708063E-2</v>
      </c>
      <c r="F170">
        <f>(K165*A170*K163^2)/(1+K165*A170*K163)</f>
        <v>8.1147259219222132</v>
      </c>
      <c r="G170">
        <f t="shared" si="26"/>
        <v>0.77527407807778737</v>
      </c>
      <c r="H170">
        <f t="shared" si="27"/>
        <v>0.6010498961393631</v>
      </c>
      <c r="J170" t="s">
        <v>30</v>
      </c>
      <c r="K170">
        <f>1-(K166/K168)</f>
        <v>0.99753086217396503</v>
      </c>
    </row>
    <row r="171" spans="1:11" x14ac:dyDescent="0.35">
      <c r="J171" t="s">
        <v>31</v>
      </c>
      <c r="K171">
        <f>1-(K167/K169)</f>
        <v>0.96486759522044685</v>
      </c>
    </row>
    <row r="189" spans="1:11" x14ac:dyDescent="0.35">
      <c r="D189" s="6" t="s">
        <v>44</v>
      </c>
    </row>
    <row r="190" spans="1:11" x14ac:dyDescent="0.35">
      <c r="A190" t="s">
        <v>45</v>
      </c>
      <c r="B190" t="s">
        <v>47</v>
      </c>
      <c r="C190" t="s">
        <v>14</v>
      </c>
      <c r="D190" t="s">
        <v>2</v>
      </c>
      <c r="E190" t="s">
        <v>3</v>
      </c>
      <c r="F190" t="s">
        <v>15</v>
      </c>
      <c r="G190" t="s">
        <v>4</v>
      </c>
      <c r="H190" t="s">
        <v>5</v>
      </c>
      <c r="J190" t="s">
        <v>7</v>
      </c>
      <c r="K190">
        <v>0.1</v>
      </c>
    </row>
    <row r="191" spans="1:11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J191" t="s">
        <v>8</v>
      </c>
      <c r="K191">
        <v>0.1287262779282789</v>
      </c>
    </row>
    <row r="192" spans="1:11" x14ac:dyDescent="0.35">
      <c r="A192">
        <v>5</v>
      </c>
      <c r="B192">
        <v>0</v>
      </c>
      <c r="C192">
        <f>K190*(1-EXP(-K191*A192))</f>
        <v>4.7461890770805371E-2</v>
      </c>
      <c r="D192">
        <f>B192-C192</f>
        <v>-4.7461890770805371E-2</v>
      </c>
      <c r="E192">
        <f>D192^2</f>
        <v>2.2526310755398601E-3</v>
      </c>
      <c r="F192">
        <f>(K192*A192*K190^2)/(1+K192*A192*K190)</f>
        <v>5.6377837854484317E-2</v>
      </c>
      <c r="G192">
        <f>B192-F192</f>
        <v>-5.6377837854484317E-2</v>
      </c>
      <c r="H192">
        <f>G192^2</f>
        <v>3.1784606011465246E-3</v>
      </c>
      <c r="J192" t="s">
        <v>9</v>
      </c>
      <c r="K192">
        <v>2.5848254685963501</v>
      </c>
    </row>
    <row r="193" spans="1:11" x14ac:dyDescent="0.35">
      <c r="A193">
        <v>10</v>
      </c>
      <c r="B193">
        <v>0.1</v>
      </c>
      <c r="C193">
        <f>K190*(1-EXP(-K191*A193))</f>
        <v>7.2397470786212156E-2</v>
      </c>
      <c r="D193">
        <f t="shared" ref="D193:D197" si="28">B193-C193</f>
        <v>2.7602529213787849E-2</v>
      </c>
      <c r="E193">
        <f t="shared" ref="E193:E197" si="29">D193^2</f>
        <v>7.6189961899801161E-4</v>
      </c>
      <c r="F193">
        <f>(K192*A193*K190^2)/(1+K192*A193*K190)</f>
        <v>7.2104639158582173E-2</v>
      </c>
      <c r="G193">
        <f t="shared" ref="G193:G197" si="30">B193-F193</f>
        <v>2.7895360841417832E-2</v>
      </c>
      <c r="H193">
        <f t="shared" ref="H193:H197" si="31">G193^2</f>
        <v>7.7815115647290737E-4</v>
      </c>
      <c r="J193" t="s">
        <v>10</v>
      </c>
      <c r="K193">
        <f>SUM(E191:E197)</f>
        <v>3.3033291419341726E-3</v>
      </c>
    </row>
    <row r="194" spans="1:11" x14ac:dyDescent="0.35">
      <c r="A194">
        <v>15</v>
      </c>
      <c r="B194">
        <v>0.1</v>
      </c>
      <c r="C194">
        <f>K190*(1-EXP(-K191*A194))</f>
        <v>8.5498153051639769E-2</v>
      </c>
      <c r="D194">
        <f t="shared" si="28"/>
        <v>1.4501846948360236E-2</v>
      </c>
      <c r="E194">
        <f t="shared" si="29"/>
        <v>2.1030356491366509E-4</v>
      </c>
      <c r="F194">
        <f>(K192*A194*K190^2)/(1+K192*A194*K190)</f>
        <v>7.9496592981525421E-2</v>
      </c>
      <c r="G194">
        <f t="shared" si="30"/>
        <v>2.0503407018474584E-2</v>
      </c>
      <c r="H194">
        <f t="shared" si="31"/>
        <v>4.2038969936523284E-4</v>
      </c>
      <c r="J194" t="s">
        <v>11</v>
      </c>
      <c r="K194">
        <f>SUM(H191:H197)</f>
        <v>4.9497814795430731E-3</v>
      </c>
    </row>
    <row r="195" spans="1:11" x14ac:dyDescent="0.35">
      <c r="A195">
        <v>20</v>
      </c>
      <c r="B195">
        <v>0.1</v>
      </c>
      <c r="C195">
        <f>K190*(1-EXP(-K191*A195))</f>
        <v>9.2381003810019888E-2</v>
      </c>
      <c r="D195">
        <f t="shared" si="28"/>
        <v>7.6189961899801179E-3</v>
      </c>
      <c r="E195">
        <f t="shared" si="29"/>
        <v>5.8049102942931549E-5</v>
      </c>
      <c r="F195">
        <f>(K192*A195*K190^2)/(1+K192*A195*K190)</f>
        <v>8.3791627594817925E-2</v>
      </c>
      <c r="G195">
        <f t="shared" si="30"/>
        <v>1.6208372405182081E-2</v>
      </c>
      <c r="H195">
        <f t="shared" si="31"/>
        <v>2.6271133602506796E-4</v>
      </c>
      <c r="J195" t="s">
        <v>28</v>
      </c>
      <c r="K195" cm="1">
        <f t="array" ref="K195">SUM(((B191:B197-AVERAGE(B191:B197))^2))</f>
        <v>1.428571428571429E-2</v>
      </c>
    </row>
    <row r="196" spans="1:11" x14ac:dyDescent="0.35">
      <c r="A196">
        <v>25</v>
      </c>
      <c r="B196">
        <v>0.1</v>
      </c>
      <c r="C196">
        <f>K190*(1-EXP(-K191*A196))</f>
        <v>9.5997123459540076E-2</v>
      </c>
      <c r="D196">
        <f t="shared" si="28"/>
        <v>4.0028765404599292E-3</v>
      </c>
      <c r="E196">
        <f t="shared" si="29"/>
        <v>1.6023020598164452E-5</v>
      </c>
      <c r="F196">
        <f>(K192*A196*K190^2)/(1+K192*A196*K190)</f>
        <v>8.6598881435164629E-2</v>
      </c>
      <c r="G196">
        <f t="shared" si="30"/>
        <v>1.3401118564835376E-2</v>
      </c>
      <c r="H196">
        <f t="shared" si="31"/>
        <v>1.7958997878877539E-4</v>
      </c>
      <c r="J196" t="s">
        <v>29</v>
      </c>
      <c r="K196" cm="1">
        <f t="array" ref="K196">SUM((B191:B197-AVERAGE(B191:B197))^2)</f>
        <v>1.428571428571429E-2</v>
      </c>
    </row>
    <row r="197" spans="1:11" x14ac:dyDescent="0.35">
      <c r="A197">
        <v>30</v>
      </c>
      <c r="B197">
        <v>0.1</v>
      </c>
      <c r="C197">
        <f>K190*(1-EXP(-K191*A197))</f>
        <v>9.7896964350863355E-2</v>
      </c>
      <c r="D197">
        <f t="shared" si="28"/>
        <v>2.1030356491366503E-3</v>
      </c>
      <c r="E197">
        <f t="shared" si="29"/>
        <v>4.4227589415396119E-6</v>
      </c>
      <c r="F197">
        <f>(K192*A197*K190^2)/(1+K192*A197*K190)</f>
        <v>8.8577272315923633E-2</v>
      </c>
      <c r="G197">
        <f t="shared" si="30"/>
        <v>1.1422727684076373E-2</v>
      </c>
      <c r="H197">
        <f t="shared" si="31"/>
        <v>1.3047870774456476E-4</v>
      </c>
      <c r="J197" t="s">
        <v>30</v>
      </c>
      <c r="K197" s="8">
        <f>1-(K193/K195)</f>
        <v>0.76876696006460798</v>
      </c>
    </row>
    <row r="198" spans="1:11" x14ac:dyDescent="0.35">
      <c r="J198" t="s">
        <v>31</v>
      </c>
      <c r="K198">
        <f>1-(K194/K196)</f>
        <v>0.65351529643198503</v>
      </c>
    </row>
    <row r="217" spans="1:11" x14ac:dyDescent="0.35">
      <c r="D217" s="6" t="s">
        <v>57</v>
      </c>
    </row>
    <row r="218" spans="1:11" x14ac:dyDescent="0.35">
      <c r="A218" t="s">
        <v>45</v>
      </c>
      <c r="B218" t="s">
        <v>47</v>
      </c>
      <c r="C218" t="s">
        <v>14</v>
      </c>
      <c r="D218" t="s">
        <v>2</v>
      </c>
      <c r="E218" t="s">
        <v>3</v>
      </c>
      <c r="F218" t="s">
        <v>15</v>
      </c>
      <c r="G218" t="s">
        <v>4</v>
      </c>
      <c r="H218" t="s">
        <v>5</v>
      </c>
      <c r="J218" t="s">
        <v>7</v>
      </c>
      <c r="K218">
        <v>668.6</v>
      </c>
    </row>
    <row r="219" spans="1:11" x14ac:dyDescent="0.35">
      <c r="A219">
        <v>0</v>
      </c>
      <c r="B219">
        <v>0</v>
      </c>
      <c r="C219">
        <v>0</v>
      </c>
      <c r="D219">
        <f>B219-C219</f>
        <v>0</v>
      </c>
      <c r="E219">
        <f>D219^2</f>
        <v>0</v>
      </c>
      <c r="F219">
        <v>0</v>
      </c>
      <c r="G219">
        <f>B219-F219</f>
        <v>0</v>
      </c>
      <c r="H219">
        <f>G219^2</f>
        <v>0</v>
      </c>
      <c r="J219" t="s">
        <v>54</v>
      </c>
      <c r="K219">
        <v>0.20322988022065555</v>
      </c>
    </row>
    <row r="220" spans="1:11" x14ac:dyDescent="0.35">
      <c r="A220">
        <v>5</v>
      </c>
      <c r="B220">
        <v>488.7</v>
      </c>
      <c r="C220">
        <f>K218*(1-EXP(-K219*A220))</f>
        <v>426.57607791000902</v>
      </c>
      <c r="D220">
        <f t="shared" ref="D220:D225" si="32">B220-C220</f>
        <v>62.12392208999097</v>
      </c>
      <c r="E220">
        <f t="shared" ref="E220:E225" si="33">D220^2</f>
        <v>3859.3816958432681</v>
      </c>
      <c r="F220">
        <f>(K220*A220*K218^2)/(1+K220*A220*K218)</f>
        <v>489.98792817014868</v>
      </c>
      <c r="G220">
        <f t="shared" ref="G220:G225" si="34">B220-F220</f>
        <v>-1.2879281701486889</v>
      </c>
      <c r="H220">
        <f t="shared" ref="H220:H225" si="35">G220^2</f>
        <v>1.6587589714625501</v>
      </c>
      <c r="J220" t="s">
        <v>55</v>
      </c>
      <c r="K220">
        <v>8.2061262778462948E-4</v>
      </c>
    </row>
    <row r="221" spans="1:11" x14ac:dyDescent="0.35">
      <c r="A221">
        <v>10</v>
      </c>
      <c r="B221">
        <v>523.4</v>
      </c>
      <c r="C221">
        <f>K218*(1-EXP(-K219*A221))</f>
        <v>580.99069867810056</v>
      </c>
      <c r="D221">
        <f t="shared" si="32"/>
        <v>-57.59069867810058</v>
      </c>
      <c r="E221">
        <f t="shared" si="33"/>
        <v>3316.6885742317759</v>
      </c>
      <c r="F221">
        <f>(K220*A221*K218^2)/(1+K220*A221*K218)</f>
        <v>565.52622517304474</v>
      </c>
      <c r="G221">
        <f t="shared" si="34"/>
        <v>-42.126225173044759</v>
      </c>
      <c r="H221">
        <f t="shared" si="35"/>
        <v>1774.6188473300699</v>
      </c>
      <c r="J221" t="s">
        <v>10</v>
      </c>
      <c r="K221">
        <f>SUM(E219:E225)</f>
        <v>9404.3800127493269</v>
      </c>
    </row>
    <row r="222" spans="1:11" x14ac:dyDescent="0.35">
      <c r="A222">
        <v>15</v>
      </c>
      <c r="B222">
        <v>596.20000000000005</v>
      </c>
      <c r="C222">
        <f>K218*(1-EXP(-K219*A222))</f>
        <v>636.88664864270129</v>
      </c>
      <c r="D222">
        <f t="shared" si="32"/>
        <v>-40.686648642701243</v>
      </c>
      <c r="E222">
        <f t="shared" si="33"/>
        <v>1655.4033777746229</v>
      </c>
      <c r="F222">
        <f>(K220*A222*K218^2)/(1+K220*A222*K218)</f>
        <v>596.16170074542924</v>
      </c>
      <c r="G222">
        <f t="shared" si="34"/>
        <v>3.8299254570802077E-2</v>
      </c>
      <c r="H222">
        <f t="shared" si="35"/>
        <v>1.4668329006791037E-3</v>
      </c>
      <c r="J222" t="s">
        <v>11</v>
      </c>
      <c r="K222">
        <f>SUM(H219:H225)</f>
        <v>4610.7389558420746</v>
      </c>
    </row>
    <row r="223" spans="1:11" x14ac:dyDescent="0.35">
      <c r="A223">
        <v>20</v>
      </c>
      <c r="B223">
        <v>641.70000000000005</v>
      </c>
      <c r="C223">
        <f>K218*(1-EXP(-K219*A223))</f>
        <v>657.12020688287259</v>
      </c>
      <c r="D223">
        <f t="shared" si="32"/>
        <v>-15.420206882872549</v>
      </c>
      <c r="E223">
        <f t="shared" si="33"/>
        <v>237.78278031058991</v>
      </c>
      <c r="F223">
        <f>(K220*A223*K218^2)/(1+K220*A223*K218)</f>
        <v>612.75877043724665</v>
      </c>
      <c r="G223">
        <f t="shared" si="34"/>
        <v>28.941229562753392</v>
      </c>
      <c r="H223">
        <f t="shared" si="35"/>
        <v>837.59476860399093</v>
      </c>
      <c r="J223" t="s">
        <v>28</v>
      </c>
      <c r="K223" cm="1">
        <f t="array" ref="K223">SUM((B219:B225-AVERAGE(B219:B225))^2)</f>
        <v>329209.11714285717</v>
      </c>
    </row>
    <row r="224" spans="1:11" x14ac:dyDescent="0.35">
      <c r="A224">
        <v>25</v>
      </c>
      <c r="B224">
        <v>646.20000000000005</v>
      </c>
      <c r="C224">
        <f>K218*(1-EXP(-K219*A224))</f>
        <v>664.44447419235894</v>
      </c>
      <c r="D224">
        <f t="shared" si="32"/>
        <v>-18.244474192358894</v>
      </c>
      <c r="E224">
        <f t="shared" si="33"/>
        <v>332.86083855564971</v>
      </c>
      <c r="F224">
        <f>(K220*A224*K218^2)/(1+K220*A224*K218)</f>
        <v>623.16812561482607</v>
      </c>
      <c r="G224">
        <f t="shared" si="34"/>
        <v>23.031874385173978</v>
      </c>
      <c r="H224">
        <f t="shared" si="35"/>
        <v>530.46723769443327</v>
      </c>
      <c r="J224" t="s">
        <v>29</v>
      </c>
      <c r="K224" cm="1">
        <f t="array" ref="K224">SUM((B219:B225-AVERAGE(B219:B225))^2)</f>
        <v>329209.11714285717</v>
      </c>
    </row>
    <row r="225" spans="1:11" x14ac:dyDescent="0.35">
      <c r="A225">
        <v>30</v>
      </c>
      <c r="B225">
        <v>668.6</v>
      </c>
      <c r="C225">
        <f>K218*(1-EXP(-K219*A225))</f>
        <v>667.09575732229814</v>
      </c>
      <c r="D225">
        <f t="shared" si="32"/>
        <v>1.5042426777018818</v>
      </c>
      <c r="E225">
        <f t="shared" si="33"/>
        <v>2.2627460334197274</v>
      </c>
      <c r="F225">
        <f>(K220*A225*K218^2)/(1+K220*A225*K218)</f>
        <v>630.30642512889119</v>
      </c>
      <c r="G225">
        <f t="shared" si="34"/>
        <v>38.293574871108831</v>
      </c>
      <c r="H225">
        <f t="shared" si="35"/>
        <v>1466.3978764092178</v>
      </c>
      <c r="J225" t="s">
        <v>30</v>
      </c>
      <c r="K225">
        <f>1-(K221/K223)</f>
        <v>0.97143341565273722</v>
      </c>
    </row>
    <row r="226" spans="1:11" x14ac:dyDescent="0.35">
      <c r="J226" t="s">
        <v>31</v>
      </c>
      <c r="K226">
        <f>1-(K222/K224)</f>
        <v>0.98599449797788774</v>
      </c>
    </row>
    <row r="243" spans="1:11" x14ac:dyDescent="0.35">
      <c r="D243" s="6" t="s">
        <v>59</v>
      </c>
    </row>
    <row r="244" spans="1:11" x14ac:dyDescent="0.35">
      <c r="A244" t="s">
        <v>45</v>
      </c>
      <c r="B244" t="s">
        <v>47</v>
      </c>
      <c r="C244" t="s">
        <v>14</v>
      </c>
      <c r="D244" t="s">
        <v>2</v>
      </c>
      <c r="E244" t="s">
        <v>3</v>
      </c>
      <c r="F244" t="s">
        <v>15</v>
      </c>
      <c r="G244" t="s">
        <v>4</v>
      </c>
      <c r="H244" t="s">
        <v>67</v>
      </c>
      <c r="J244" t="s">
        <v>7</v>
      </c>
      <c r="K244">
        <v>0.9</v>
      </c>
    </row>
    <row r="245" spans="1:11" x14ac:dyDescent="0.35">
      <c r="A245">
        <v>0</v>
      </c>
      <c r="B245">
        <v>0</v>
      </c>
      <c r="C245">
        <v>0</v>
      </c>
      <c r="D245">
        <f>B245-C245</f>
        <v>0</v>
      </c>
      <c r="E245">
        <f>D245^2</f>
        <v>0</v>
      </c>
      <c r="F245">
        <v>0</v>
      </c>
      <c r="G245">
        <f>B245-F245</f>
        <v>0</v>
      </c>
      <c r="H245">
        <f>G245^2</f>
        <v>0</v>
      </c>
      <c r="J245" t="s">
        <v>8</v>
      </c>
      <c r="K245">
        <v>0.11952349012282862</v>
      </c>
    </row>
    <row r="246" spans="1:11" x14ac:dyDescent="0.35">
      <c r="A246">
        <v>5</v>
      </c>
      <c r="B246">
        <v>0.4</v>
      </c>
      <c r="C246">
        <f>K244*(1-EXP(-K245*A246))</f>
        <v>0.40489131074903506</v>
      </c>
      <c r="D246">
        <f t="shared" ref="D246:D251" si="36">B246-C246</f>
        <v>-4.8913107490350383E-3</v>
      </c>
      <c r="E246">
        <f t="shared" ref="E246:E251" si="37">D246^2</f>
        <v>2.3924920843625706E-5</v>
      </c>
      <c r="F246">
        <f>(K246*A246*K244^2)/(1+K246*A246*K244)</f>
        <v>0.50787887712526769</v>
      </c>
      <c r="G246">
        <f t="shared" ref="G246:G251" si="38">B246-F246</f>
        <v>-0.10787887712526767</v>
      </c>
      <c r="H246">
        <f t="shared" ref="H246:H251" si="39">G246^2</f>
        <v>1.16378521298086E-2</v>
      </c>
      <c r="J246" t="s">
        <v>9</v>
      </c>
      <c r="K246">
        <v>0.28782426171557957</v>
      </c>
    </row>
    <row r="247" spans="1:11" x14ac:dyDescent="0.35">
      <c r="A247">
        <v>10</v>
      </c>
      <c r="B247">
        <v>0.7</v>
      </c>
      <c r="C247">
        <f>K244*(1-EXP(-K245*A247))</f>
        <v>0.62763042869799057</v>
      </c>
      <c r="D247">
        <f t="shared" si="36"/>
        <v>7.2369571302009383E-2</v>
      </c>
      <c r="E247">
        <f t="shared" si="37"/>
        <v>5.2373548504366201E-3</v>
      </c>
      <c r="F247">
        <f>(K246*A247*K244^2)/(1+K246*A247*K244)</f>
        <v>0.64933283230453742</v>
      </c>
      <c r="G247">
        <f t="shared" si="38"/>
        <v>5.0667167695462534E-2</v>
      </c>
      <c r="H247">
        <f t="shared" si="39"/>
        <v>2.5671618822801223E-3</v>
      </c>
      <c r="J247" t="s">
        <v>10</v>
      </c>
      <c r="K247">
        <f>SUM(E245:E251)</f>
        <v>1.1695871877648024E-2</v>
      </c>
    </row>
    <row r="248" spans="1:11" x14ac:dyDescent="0.35">
      <c r="A248">
        <v>15</v>
      </c>
      <c r="B248">
        <v>0.7</v>
      </c>
      <c r="C248">
        <f>K244*(1-EXP(-K245*A248))</f>
        <v>0.75016384284534987</v>
      </c>
      <c r="D248">
        <f t="shared" si="36"/>
        <v>-5.0163842845349915E-2</v>
      </c>
      <c r="E248">
        <f t="shared" si="37"/>
        <v>2.516411129012964E-3</v>
      </c>
      <c r="F248">
        <f>(K246*A248*K244^2)/(1+K246*A248*K244)</f>
        <v>0.71578620271573912</v>
      </c>
      <c r="G248">
        <f t="shared" si="38"/>
        <v>-1.5786202715739162E-2</v>
      </c>
      <c r="H248">
        <f t="shared" si="39"/>
        <v>2.4920419618241048E-4</v>
      </c>
      <c r="J248" t="s">
        <v>11</v>
      </c>
      <c r="K248">
        <f>SUM(H245:H251)</f>
        <v>2.7478521050573131E-2</v>
      </c>
    </row>
    <row r="249" spans="1:11" x14ac:dyDescent="0.35">
      <c r="A249">
        <v>20</v>
      </c>
      <c r="B249">
        <v>0.8</v>
      </c>
      <c r="C249">
        <f>K244*(1-EXP(-K245*A249))</f>
        <v>0.81757201847639949</v>
      </c>
      <c r="D249">
        <f t="shared" si="36"/>
        <v>-1.7572018476399442E-2</v>
      </c>
      <c r="E249">
        <f t="shared" si="37"/>
        <v>3.0877583333492338E-4</v>
      </c>
      <c r="F249">
        <f>(K246*A249*K244^2)/(1+K246*A249*K244)</f>
        <v>0.75438864637603431</v>
      </c>
      <c r="G249">
        <f t="shared" si="38"/>
        <v>4.5611353623965734E-2</v>
      </c>
      <c r="H249">
        <f t="shared" si="39"/>
        <v>2.080395579410452E-3</v>
      </c>
      <c r="J249" t="s">
        <v>28</v>
      </c>
      <c r="K249" cm="1">
        <f t="array" ref="K249">SUM((B245:B251-AVERAGE(B245:B251))^2)</f>
        <v>0.58857142857142852</v>
      </c>
    </row>
    <row r="250" spans="1:11" x14ac:dyDescent="0.35">
      <c r="A250">
        <v>25</v>
      </c>
      <c r="B250">
        <v>0.8</v>
      </c>
      <c r="C250">
        <f>K244*(1-EXP(-K245*A250))</f>
        <v>0.85465465567805265</v>
      </c>
      <c r="D250">
        <f t="shared" si="36"/>
        <v>-5.465465567805261E-2</v>
      </c>
      <c r="E250">
        <f t="shared" si="37"/>
        <v>2.9871313872864885E-3</v>
      </c>
      <c r="F250">
        <f>(K246*A250*K244^2)/(1+K246*A250*K244)</f>
        <v>0.77961550618993425</v>
      </c>
      <c r="G250">
        <f t="shared" si="38"/>
        <v>2.0384493810065796E-2</v>
      </c>
      <c r="H250">
        <f t="shared" si="39"/>
        <v>4.1552758789261074E-4</v>
      </c>
      <c r="J250" t="s">
        <v>29</v>
      </c>
      <c r="K250" cm="1">
        <f t="array" ref="K250">SUM((B245:B251-AVERAGE(B245:B251))^2)</f>
        <v>0.58857142857142852</v>
      </c>
    </row>
    <row r="251" spans="1:11" x14ac:dyDescent="0.35">
      <c r="A251">
        <v>30</v>
      </c>
      <c r="B251">
        <v>0.9</v>
      </c>
      <c r="C251">
        <f>K244*(1-EXP(-K245*A251))</f>
        <v>0.87505458445458562</v>
      </c>
      <c r="D251">
        <f t="shared" si="36"/>
        <v>2.4945415545414407E-2</v>
      </c>
      <c r="E251">
        <f t="shared" si="37"/>
        <v>6.2227375673340273E-4</v>
      </c>
      <c r="F251">
        <f>(K246*A251*K244^2)/(1+K246*A251*K244)</f>
        <v>0.79739210715057574</v>
      </c>
      <c r="G251">
        <f t="shared" si="38"/>
        <v>0.10260789284942429</v>
      </c>
      <c r="H251">
        <f t="shared" si="39"/>
        <v>1.0528379674998936E-2</v>
      </c>
      <c r="J251" t="s">
        <v>30</v>
      </c>
      <c r="K251">
        <f>1-(K247/K249)</f>
        <v>0.9801283730234136</v>
      </c>
    </row>
    <row r="252" spans="1:11" x14ac:dyDescent="0.35">
      <c r="J252" t="s">
        <v>31</v>
      </c>
      <c r="K252">
        <f>1-(K248/K250)</f>
        <v>0.95331319238980294</v>
      </c>
    </row>
    <row r="270" spans="1:11" x14ac:dyDescent="0.35">
      <c r="D270" s="6" t="s">
        <v>60</v>
      </c>
    </row>
    <row r="271" spans="1:11" x14ac:dyDescent="0.35">
      <c r="A271" t="s">
        <v>45</v>
      </c>
      <c r="B271" t="s">
        <v>47</v>
      </c>
      <c r="C271" t="s">
        <v>14</v>
      </c>
      <c r="D271" t="s">
        <v>2</v>
      </c>
      <c r="E271" t="s">
        <v>3</v>
      </c>
      <c r="F271" t="s">
        <v>70</v>
      </c>
      <c r="G271" t="s">
        <v>4</v>
      </c>
      <c r="H271" t="s">
        <v>5</v>
      </c>
      <c r="J271" t="s">
        <v>7</v>
      </c>
      <c r="K271">
        <v>4.99</v>
      </c>
    </row>
    <row r="272" spans="1:11" x14ac:dyDescent="0.35">
      <c r="A272">
        <v>0</v>
      </c>
      <c r="B272">
        <v>0</v>
      </c>
      <c r="C272">
        <v>0</v>
      </c>
      <c r="D272">
        <f>B272-C272</f>
        <v>0</v>
      </c>
      <c r="E272">
        <f>D272^2</f>
        <v>0</v>
      </c>
      <c r="F272">
        <v>0</v>
      </c>
      <c r="G272">
        <f>B272-F272</f>
        <v>0</v>
      </c>
      <c r="H272">
        <f>G272^2</f>
        <v>0</v>
      </c>
      <c r="J272" t="s">
        <v>8</v>
      </c>
      <c r="K272">
        <v>5.3496561097321996E-2</v>
      </c>
    </row>
    <row r="273" spans="1:11" x14ac:dyDescent="0.35">
      <c r="A273">
        <v>5</v>
      </c>
      <c r="B273">
        <v>1.0900000000000001</v>
      </c>
      <c r="C273">
        <f>K271*(1-EXP(-K272*A273))</f>
        <v>1.1711355872413431</v>
      </c>
      <c r="D273">
        <f t="shared" ref="D273:D278" si="40">B273-C273</f>
        <v>-8.1135587241343066E-2</v>
      </c>
      <c r="E273">
        <f t="shared" ref="E273:E278" si="41">D273^2</f>
        <v>6.582983516997592E-3</v>
      </c>
      <c r="F273">
        <f>(K273*A273*K271^2)/(1+K273*A273*K271)</f>
        <v>1.5003648111080803</v>
      </c>
      <c r="G273">
        <f t="shared" ref="G273:G278" si="42">B273-F273</f>
        <v>-0.41036481110808021</v>
      </c>
      <c r="H273">
        <f t="shared" ref="H273:H278" si="43">G273^2</f>
        <v>0.16839927819577036</v>
      </c>
      <c r="J273" t="s">
        <v>9</v>
      </c>
      <c r="K273">
        <v>1.7232420844470974E-2</v>
      </c>
    </row>
    <row r="274" spans="1:11" x14ac:dyDescent="0.35">
      <c r="A274">
        <v>10</v>
      </c>
      <c r="B274">
        <v>2.09</v>
      </c>
      <c r="C274">
        <f>K271*(1-EXP(-K272*A274))</f>
        <v>2.067409738870837</v>
      </c>
      <c r="D274">
        <f t="shared" si="40"/>
        <v>2.2590261129162847E-2</v>
      </c>
      <c r="E274">
        <f t="shared" si="41"/>
        <v>5.1031989788376589E-4</v>
      </c>
      <c r="F274">
        <f>(K273*A274*K271^2)/(1+K273*A274*K271)</f>
        <v>2.3070568836487695</v>
      </c>
      <c r="G274">
        <f t="shared" si="42"/>
        <v>-0.21705688364876963</v>
      </c>
      <c r="H274">
        <f t="shared" si="43"/>
        <v>4.7113690739315518E-2</v>
      </c>
      <c r="J274" t="s">
        <v>10</v>
      </c>
      <c r="K274">
        <f>SUM(E272:E278)</f>
        <v>2.4456538542904074</v>
      </c>
    </row>
    <row r="275" spans="1:11" x14ac:dyDescent="0.35">
      <c r="A275">
        <v>15</v>
      </c>
      <c r="B275">
        <v>2.09</v>
      </c>
      <c r="C275">
        <f>K271*(1-EXP(-K272*A275))</f>
        <v>2.7533314746891402</v>
      </c>
      <c r="D275">
        <f t="shared" si="40"/>
        <v>-0.66333147468914033</v>
      </c>
      <c r="E275">
        <f t="shared" si="41"/>
        <v>0.44000864531326961</v>
      </c>
      <c r="F275">
        <f>(K273*A275*K271^2)/(1+K273*A275*K271)</f>
        <v>2.8108148171904666</v>
      </c>
      <c r="G275">
        <f t="shared" si="42"/>
        <v>-0.72081481719046669</v>
      </c>
      <c r="H275">
        <f t="shared" si="43"/>
        <v>0.51957400068132586</v>
      </c>
      <c r="J275" t="s">
        <v>11</v>
      </c>
      <c r="K275">
        <f>SUM(H272:H278)</f>
        <v>3.9027870990635685</v>
      </c>
    </row>
    <row r="276" spans="1:11" x14ac:dyDescent="0.35">
      <c r="A276">
        <v>20</v>
      </c>
      <c r="B276">
        <v>2.4900000000000002</v>
      </c>
      <c r="C276">
        <f>K271*(1-EXP(-K272*A276))</f>
        <v>3.2782697726559062</v>
      </c>
      <c r="D276">
        <f t="shared" si="40"/>
        <v>-0.78826977265590603</v>
      </c>
      <c r="E276">
        <f t="shared" si="41"/>
        <v>0.62136923448299375</v>
      </c>
      <c r="F276">
        <f>(K273*A276*K271^2)/(1+K273*A276*K271)</f>
        <v>3.1553033045977497</v>
      </c>
      <c r="G276">
        <f t="shared" si="42"/>
        <v>-0.66530330459774945</v>
      </c>
      <c r="H276">
        <f t="shared" si="43"/>
        <v>0.4426284871086858</v>
      </c>
      <c r="J276" t="s">
        <v>28</v>
      </c>
      <c r="K276" cm="1">
        <f t="array" ref="K276">SUM((B272:B278-AVERAGE(B272:B278))^2)</f>
        <v>17.948371428571431</v>
      </c>
    </row>
    <row r="277" spans="1:11" x14ac:dyDescent="0.35">
      <c r="A277">
        <v>25</v>
      </c>
      <c r="B277">
        <v>4.29</v>
      </c>
      <c r="C277">
        <f>K271*(1-EXP(-K272*A277))</f>
        <v>3.6800068838782281</v>
      </c>
      <c r="D277">
        <f t="shared" si="40"/>
        <v>0.60999311612177198</v>
      </c>
      <c r="E277">
        <f t="shared" si="41"/>
        <v>0.37209160171594957</v>
      </c>
      <c r="F277">
        <f>(K273*A277*K271^2)/(1+K273*A277*K271)</f>
        <v>3.4057445153252695</v>
      </c>
      <c r="G277">
        <f t="shared" si="42"/>
        <v>0.88425548467473059</v>
      </c>
      <c r="H277">
        <f t="shared" si="43"/>
        <v>0.7819077621773427</v>
      </c>
      <c r="J277" t="s">
        <v>29</v>
      </c>
      <c r="K277" cm="1">
        <f t="array" ref="K277">SUM((B272:B278-AVERAGE(B272:B278))^2)</f>
        <v>17.948371428571431</v>
      </c>
    </row>
    <row r="278" spans="1:11" x14ac:dyDescent="0.35">
      <c r="A278">
        <v>30</v>
      </c>
      <c r="B278">
        <v>4.99</v>
      </c>
      <c r="C278">
        <f>K271*(1-EXP(-K272*A278))</f>
        <v>3.9874576969706901</v>
      </c>
      <c r="D278">
        <f t="shared" si="40"/>
        <v>1.0025423030293101</v>
      </c>
      <c r="E278">
        <f t="shared" si="41"/>
        <v>1.005091069363313</v>
      </c>
      <c r="F278">
        <f>(K273*A278*K271^2)/(1+K273*A278*K271)</f>
        <v>3.5960258681879611</v>
      </c>
      <c r="G278">
        <f t="shared" si="42"/>
        <v>1.3939741318120391</v>
      </c>
      <c r="H278">
        <f t="shared" si="43"/>
        <v>1.9431638801611282</v>
      </c>
      <c r="J278" t="s">
        <v>30</v>
      </c>
      <c r="K278">
        <f>1-(K274/K276)</f>
        <v>0.86373951174214891</v>
      </c>
    </row>
    <row r="279" spans="1:11" x14ac:dyDescent="0.35">
      <c r="J279" t="s">
        <v>31</v>
      </c>
      <c r="K279">
        <f>1-(K275/K277)</f>
        <v>0.78255480645721165</v>
      </c>
    </row>
  </sheetData>
  <pageMargins left="0.7" right="0.7" top="0.75" bottom="0.75" header="0.3" footer="0.3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BC1F-D095-43F6-BA9B-62EB49058D4C}">
  <dimension ref="A1:H34"/>
  <sheetViews>
    <sheetView tabSelected="1" workbookViewId="0">
      <selection activeCell="K13" sqref="K8:K13"/>
    </sheetView>
  </sheetViews>
  <sheetFormatPr defaultRowHeight="14.5" x14ac:dyDescent="0.35"/>
  <cols>
    <col min="1" max="1" width="10.81640625" customWidth="1"/>
    <col min="2" max="2" width="13.1796875" customWidth="1"/>
    <col min="6" max="6" width="15" customWidth="1"/>
    <col min="7" max="7" width="11.7265625" customWidth="1"/>
    <col min="8" max="8" width="14.90625" customWidth="1"/>
  </cols>
  <sheetData>
    <row r="1" spans="1:8" x14ac:dyDescent="0.35">
      <c r="A1" t="s">
        <v>53</v>
      </c>
      <c r="B1" t="s">
        <v>52</v>
      </c>
      <c r="C1" t="s">
        <v>7</v>
      </c>
      <c r="D1" t="s">
        <v>54</v>
      </c>
      <c r="E1" t="s">
        <v>55</v>
      </c>
      <c r="F1" t="s">
        <v>30</v>
      </c>
      <c r="G1" t="s">
        <v>31</v>
      </c>
      <c r="H1" t="s">
        <v>56</v>
      </c>
    </row>
    <row r="2" spans="1:8" x14ac:dyDescent="0.35">
      <c r="A2">
        <v>10</v>
      </c>
      <c r="B2" t="s">
        <v>42</v>
      </c>
      <c r="C2">
        <f>'Hasil EFB 10mm'!K164</f>
        <v>8.59</v>
      </c>
      <c r="D2">
        <f>'Hasil EFB 10mm'!K165</f>
        <v>9.5611713268054788E-2</v>
      </c>
      <c r="E2">
        <f>'Hasil EFB 10mm'!K166</f>
        <v>1.7543226417941416E-2</v>
      </c>
      <c r="F2">
        <f>'Hasil EFB 10mm'!K171</f>
        <v>0.8781903701044127</v>
      </c>
      <c r="G2">
        <f>'Hasil EFB 10mm'!K172</f>
        <v>-0.96518981240871904</v>
      </c>
      <c r="H2" t="s">
        <v>35</v>
      </c>
    </row>
    <row r="3" spans="1:8" x14ac:dyDescent="0.35">
      <c r="B3" t="s">
        <v>34</v>
      </c>
      <c r="C3">
        <f>'Hasil EFB 10mm'!K2</f>
        <v>146.19999999999999</v>
      </c>
      <c r="D3">
        <f>'Hasil EFB 10mm'!K3</f>
        <v>0.36902977355663324</v>
      </c>
      <c r="E3">
        <f>'Hasil EFB 10mm'!K4</f>
        <v>8.2332119958994209E-3</v>
      </c>
      <c r="F3">
        <f>'Hasil EFB 10mm'!K9</f>
        <v>0.98291723787677676</v>
      </c>
      <c r="G3">
        <f>'Hasil EFB 10mm'!K10</f>
        <v>0.99732104741688166</v>
      </c>
      <c r="H3" t="s">
        <v>36</v>
      </c>
    </row>
    <row r="4" spans="1:8" x14ac:dyDescent="0.35">
      <c r="B4" t="s">
        <v>37</v>
      </c>
      <c r="C4">
        <f>'Hasil EFB 10mm'!K55</f>
        <v>97.3</v>
      </c>
      <c r="D4">
        <f>'Hasil EFB 10mm'!K56</f>
        <v>6.2060964981267146</v>
      </c>
      <c r="E4">
        <f>'Hasil EFB 10mm'!K57</f>
        <v>7.1977539903791306E-3</v>
      </c>
      <c r="F4">
        <f>'Hasil EFB 10mm'!K62</f>
        <v>0.87539545523632345</v>
      </c>
      <c r="G4">
        <f>'Hasil EFB 10mm'!K63</f>
        <v>0.98650110186049533</v>
      </c>
      <c r="H4" t="s">
        <v>36</v>
      </c>
    </row>
    <row r="5" spans="1:8" x14ac:dyDescent="0.35">
      <c r="B5" t="s">
        <v>39</v>
      </c>
      <c r="C5">
        <f>'Hasil EFB 10mm'!K109</f>
        <v>2.6</v>
      </c>
      <c r="D5">
        <f>'Hasil EFB 10mm'!K110</f>
        <v>4.9124858939194107</v>
      </c>
      <c r="E5">
        <f>'Hasil EFB 10mm'!K111</f>
        <v>6.9659602897519407E-2</v>
      </c>
      <c r="F5">
        <f>'Hasil EFB 10mm'!K116</f>
        <v>6.8373663515226002E-2</v>
      </c>
      <c r="G5">
        <f>'Hasil EFB 10mm'!K117</f>
        <v>0.92295558276365786</v>
      </c>
      <c r="H5" t="s">
        <v>36</v>
      </c>
    </row>
    <row r="6" spans="1:8" x14ac:dyDescent="0.35">
      <c r="B6" t="s">
        <v>57</v>
      </c>
      <c r="C6">
        <f>'Hasil EFB 10mm'!K218</f>
        <v>570.70000000000005</v>
      </c>
      <c r="D6">
        <f>'Hasil EFB 10mm'!K219</f>
        <v>0.31217326858494965</v>
      </c>
      <c r="E6">
        <f>'Hasil EFB 10mm'!K220</f>
        <v>1.9739120274952847E-3</v>
      </c>
      <c r="F6">
        <f>'Hasil EFB 10mm'!K225</f>
        <v>0.9984381731534977</v>
      </c>
      <c r="G6">
        <f>'Hasil EFB 10mm'!K226</f>
        <v>0.98725605186210674</v>
      </c>
      <c r="H6" t="str">
        <f>IF(F6&gt;G6,"Orde 1",IF(G6&gt;F6,"Orde 2"))</f>
        <v>Orde 1</v>
      </c>
    </row>
    <row r="7" spans="1:8" x14ac:dyDescent="0.35">
      <c r="B7" t="s">
        <v>58</v>
      </c>
      <c r="C7">
        <f>'Hasil EFB 10mm'!K136</f>
        <v>23.2</v>
      </c>
      <c r="D7">
        <f>'Hasil EFB 10mm'!K137</f>
        <v>0.25490254563428649</v>
      </c>
      <c r="E7">
        <f>'Hasil EFB 10mm'!K138</f>
        <v>3.5076370571817873E-2</v>
      </c>
      <c r="F7">
        <f>'Hasil EFB 10mm'!K143</f>
        <v>0.99984950142198559</v>
      </c>
      <c r="G7">
        <f>'Hasil EFB 10mm'!K144</f>
        <v>0.97785464038448255</v>
      </c>
      <c r="H7" t="s">
        <v>35</v>
      </c>
    </row>
    <row r="8" spans="1:8" x14ac:dyDescent="0.35">
      <c r="B8" t="s">
        <v>38</v>
      </c>
      <c r="C8">
        <f>'Hasil EFB 10mm'!K82</f>
        <v>5.19</v>
      </c>
      <c r="D8">
        <f>'Hasil EFB 10mm'!K83</f>
        <v>5.6388017180832701</v>
      </c>
      <c r="E8">
        <f>'Hasil EFB 10mm'!K84</f>
        <v>5.8431960038243247E-2</v>
      </c>
      <c r="F8">
        <f>'Hasil EFB 10mm'!K89</f>
        <v>0.51169420878943161</v>
      </c>
      <c r="G8">
        <f>'Hasil EFB 10mm'!K90</f>
        <v>0.90906915435161606</v>
      </c>
      <c r="H8" t="s">
        <v>36</v>
      </c>
    </row>
    <row r="9" spans="1:8" x14ac:dyDescent="0.35">
      <c r="B9" t="s">
        <v>59</v>
      </c>
      <c r="C9">
        <f>'Hasil EFB 10mm'!K243</f>
        <v>1.6</v>
      </c>
      <c r="D9">
        <f>'Hasil EFB 10mm'!K244</f>
        <v>0.12504827052258438</v>
      </c>
      <c r="E9">
        <f>'Hasil EFB 10mm'!K245</f>
        <v>0.17722517015568562</v>
      </c>
      <c r="F9">
        <f>'Hasil EFB 10mm'!K250</f>
        <v>0.95603408830572123</v>
      </c>
      <c r="G9">
        <f>'Hasil EFB 10mm'!K251</f>
        <v>0.97601108593754082</v>
      </c>
      <c r="H9" t="str">
        <f>IF(F9&gt;G9,"Orde 1",IF(G9&gt;F9,"Orde 2"))</f>
        <v>Orde 2</v>
      </c>
    </row>
    <row r="10" spans="1:8" x14ac:dyDescent="0.35">
      <c r="B10" t="s">
        <v>44</v>
      </c>
      <c r="C10">
        <f>'Hasil EFB 10mm'!K191</f>
        <v>0.1</v>
      </c>
      <c r="D10">
        <f>'Hasil EFB 10mm'!K192</f>
        <v>5368709.2199999997</v>
      </c>
      <c r="E10">
        <f>'Hasil EFB 10mm'!K193</f>
        <v>0.26738719062355121</v>
      </c>
      <c r="F10">
        <f>'Hasil EFB 10mm'!K198</f>
        <v>1</v>
      </c>
      <c r="G10">
        <f>'Hasil EFB 10mm'!K199</f>
        <v>-1.2819328206878939</v>
      </c>
      <c r="H10" t="str">
        <f>IF(F10&gt;G10,"Orde 1",IF(G10&gt;F10,"Orde 2"))</f>
        <v>Orde 1</v>
      </c>
    </row>
    <row r="11" spans="1:8" x14ac:dyDescent="0.35">
      <c r="B11" t="s">
        <v>27</v>
      </c>
      <c r="C11">
        <f>'Hasil EFB 10mm'!K28</f>
        <v>7.4</v>
      </c>
      <c r="D11">
        <f>'Hasil EFB 10mm'!K29</f>
        <v>7.3999999977094975</v>
      </c>
      <c r="E11">
        <f>'Hasil EFB 10mm'!K30</f>
        <v>0.66582617777953612</v>
      </c>
      <c r="F11">
        <f>'Hasil EFB 10mm'!K35</f>
        <v>0.99147490545477857</v>
      </c>
      <c r="G11">
        <f>'Hasil EFB 10mm'!K36</f>
        <v>0.99702692131544501</v>
      </c>
      <c r="H11" t="str">
        <f>IF(F11&gt;G11,"Orde 1",IF(G11&gt;F11,"Orde 2"))</f>
        <v>Orde 2</v>
      </c>
    </row>
    <row r="12" spans="1:8" x14ac:dyDescent="0.35">
      <c r="B12" t="s">
        <v>60</v>
      </c>
      <c r="C12">
        <v>3.19</v>
      </c>
      <c r="D12">
        <v>7.4914261536142099E-2</v>
      </c>
      <c r="E12">
        <v>4.4519641778622401E-2</v>
      </c>
      <c r="F12">
        <v>0.93423285599999994</v>
      </c>
      <c r="G12">
        <v>0.98283430230000002</v>
      </c>
      <c r="H12" t="str">
        <f t="shared" ref="H12:H34" si="0">IF(F12&gt;G12,"Orde 1",IF(G12&gt;F12,"Orde 2"))</f>
        <v>Orde 2</v>
      </c>
    </row>
    <row r="13" spans="1:8" x14ac:dyDescent="0.35">
      <c r="A13">
        <v>2</v>
      </c>
      <c r="B13" t="s">
        <v>42</v>
      </c>
      <c r="C13">
        <f>'Hasil EFB 2mm'!K165</f>
        <v>8.59</v>
      </c>
      <c r="D13">
        <f>'Hasil EFB 2mm'!K166</f>
        <v>0.2174195718978762</v>
      </c>
      <c r="E13">
        <f>'Hasil EFB 2mm'!K167</f>
        <v>6.5310329970961922E-2</v>
      </c>
      <c r="F13">
        <f>'Hasil EFB 2mm'!K172</f>
        <v>0.95593090348894583</v>
      </c>
      <c r="G13">
        <f>'Hasil EFB 2mm'!K173</f>
        <v>0.99123975322840163</v>
      </c>
      <c r="H13" t="str">
        <f t="shared" si="0"/>
        <v>Orde 2</v>
      </c>
    </row>
    <row r="14" spans="1:8" x14ac:dyDescent="0.35">
      <c r="B14" t="s">
        <v>34</v>
      </c>
      <c r="C14">
        <f>'Hasil EFB 2mm'!K2</f>
        <v>121.9</v>
      </c>
      <c r="D14">
        <f>'Hasil EFB 2mm'!K3</f>
        <v>0.56885347209935755</v>
      </c>
      <c r="E14">
        <f>'Hasil EFB 2mm'!K4</f>
        <v>2.693723244519966E-2</v>
      </c>
      <c r="F14">
        <f>'Hasil EFB 2mm'!K9</f>
        <v>0.9967456106705529</v>
      </c>
      <c r="G14">
        <f>'Hasil EFB 2mm'!K10</f>
        <v>0.99913966722372671</v>
      </c>
      <c r="H14" t="str">
        <f t="shared" si="0"/>
        <v>Orde 2</v>
      </c>
    </row>
    <row r="15" spans="1:8" x14ac:dyDescent="0.35">
      <c r="B15" t="s">
        <v>37</v>
      </c>
      <c r="C15">
        <f>'Hasil EFB 2mm'!K56</f>
        <v>76.7</v>
      </c>
      <c r="D15">
        <f>'Hasil EFB 2mm'!K57</f>
        <v>5.7725384885669584</v>
      </c>
      <c r="E15">
        <f>'Hasil EFB 2mm'!K58</f>
        <v>1.255459480621543E-2</v>
      </c>
      <c r="F15">
        <f>'Hasil EFB 2mm'!K63</f>
        <v>0.92570915130240861</v>
      </c>
      <c r="G15">
        <f>'Hasil EFB 2mm'!K64</f>
        <v>0.98907283962270043</v>
      </c>
      <c r="H15" t="str">
        <f t="shared" si="0"/>
        <v>Orde 2</v>
      </c>
    </row>
    <row r="16" spans="1:8" x14ac:dyDescent="0.35">
      <c r="B16" t="s">
        <v>39</v>
      </c>
      <c r="C16">
        <f>'Hasil EFB 2mm'!K111</f>
        <v>17.2</v>
      </c>
      <c r="D16">
        <f>'Hasil EFB 2mm'!K112</f>
        <v>0.30714021516927076</v>
      </c>
      <c r="E16">
        <f>'Hasil EFB 2mm'!K113</f>
        <v>5.5040329901402708E-2</v>
      </c>
      <c r="F16">
        <f>'Hasil EFB 2mm'!K118</f>
        <v>0.981710995582877</v>
      </c>
      <c r="G16">
        <f>'Hasil EFB 2mm'!K119</f>
        <v>0.9954964841105528</v>
      </c>
      <c r="H16" t="str">
        <f t="shared" si="0"/>
        <v>Orde 2</v>
      </c>
    </row>
    <row r="17" spans="1:8" x14ac:dyDescent="0.35">
      <c r="B17" t="s">
        <v>57</v>
      </c>
      <c r="C17">
        <f>'Hasil EFB 2mm'!K219</f>
        <v>624.5</v>
      </c>
      <c r="D17">
        <f>'Hasil EFB 2mm'!K220</f>
        <v>0.53113475568707169</v>
      </c>
      <c r="E17">
        <f>'Hasil EFB 2mm'!K221</f>
        <v>3.6061573771241982E-3</v>
      </c>
      <c r="F17">
        <f>'Hasil EFB 2mm'!K226</f>
        <v>0.99047900795149713</v>
      </c>
      <c r="G17">
        <f>'Hasil EFB 2mm'!K227</f>
        <v>0.99763797800432719</v>
      </c>
      <c r="H17" t="str">
        <f t="shared" si="0"/>
        <v>Orde 2</v>
      </c>
    </row>
    <row r="18" spans="1:8" x14ac:dyDescent="0.35">
      <c r="B18" t="s">
        <v>58</v>
      </c>
      <c r="C18">
        <f>'Hasil EFB 2mm'!K138</f>
        <v>23.9</v>
      </c>
      <c r="D18">
        <f>'Hasil EFB 2mm'!K139</f>
        <v>0.31200172142604943</v>
      </c>
      <c r="E18">
        <f>'Hasil EFB 2mm'!K140</f>
        <v>3.3644002359550181E-2</v>
      </c>
      <c r="F18">
        <f>'Hasil EFB 2mm'!K145</f>
        <v>0.94735697054132184</v>
      </c>
      <c r="G18">
        <f>'Hasil EFB 2mm'!K146</f>
        <v>0.98790330945005167</v>
      </c>
      <c r="H18" t="str">
        <f t="shared" si="0"/>
        <v>Orde 2</v>
      </c>
    </row>
    <row r="19" spans="1:8" x14ac:dyDescent="0.35">
      <c r="B19" t="s">
        <v>38</v>
      </c>
      <c r="C19">
        <f>'Hasil EFB 2mm'!K83</f>
        <v>5.6</v>
      </c>
      <c r="D19">
        <f>'Hasil EFB 2mm'!K84</f>
        <v>6.3002856432750054</v>
      </c>
      <c r="E19">
        <f>'Hasil EFB 2mm'!K85</f>
        <v>0.18270333272265837</v>
      </c>
      <c r="F19">
        <f>'Hasil EFB 2mm'!K90</f>
        <v>0.94027020621001123</v>
      </c>
      <c r="G19">
        <f>'Hasil EFB 2mm'!K91</f>
        <v>0.99321442939776039</v>
      </c>
      <c r="H19" t="str">
        <f t="shared" si="0"/>
        <v>Orde 2</v>
      </c>
    </row>
    <row r="20" spans="1:8" x14ac:dyDescent="0.35">
      <c r="B20" t="s">
        <v>59</v>
      </c>
      <c r="C20">
        <f>'Hasil EFB 2mm'!K245</f>
        <v>0.8</v>
      </c>
      <c r="D20">
        <f>'Hasil EFB 2mm'!K246</f>
        <v>0.19200499486448053</v>
      </c>
      <c r="E20">
        <f>'Hasil EFB 2mm'!K247</f>
        <v>0.64587356719941758</v>
      </c>
      <c r="F20">
        <f>'Hasil EFB 2mm'!K252</f>
        <v>0.9926870136990904</v>
      </c>
      <c r="G20">
        <f>'Hasil EFB 2mm'!K253</f>
        <v>0.96561937367196471</v>
      </c>
      <c r="H20" t="str">
        <f t="shared" si="0"/>
        <v>Orde 1</v>
      </c>
    </row>
    <row r="21" spans="1:8" x14ac:dyDescent="0.35">
      <c r="B21" t="s">
        <v>44</v>
      </c>
      <c r="C21">
        <f>'Hasil EFB 2mm'!K192</f>
        <v>0.1</v>
      </c>
      <c r="D21">
        <f>'Hasil EFB 2mm'!K193</f>
        <v>5368709.2199999997</v>
      </c>
      <c r="E21">
        <f>'Hasil EFB 2mm'!K194</f>
        <v>5368709.2200000007</v>
      </c>
      <c r="F21">
        <f>'Hasil EFB 2mm'!K199</f>
        <v>1</v>
      </c>
      <c r="G21">
        <f>'Hasil EFB 2mm'!K200</f>
        <v>0.99999999999975853</v>
      </c>
      <c r="H21" t="str">
        <f>IF(F21=G21, "Orde 1 dan Orde 2", IF(ABS(1-F21)&lt;ABS(1-G21), "Orde 1", "Orde 2"))</f>
        <v>Orde 1</v>
      </c>
    </row>
    <row r="22" spans="1:8" x14ac:dyDescent="0.35">
      <c r="B22" t="s">
        <v>27</v>
      </c>
      <c r="C22">
        <f>'Hasil EFB 2mm'!K29</f>
        <v>8.6999999999999993</v>
      </c>
      <c r="D22">
        <f>'Hasil EFB 2mm'!K30</f>
        <v>7.0598492996619591</v>
      </c>
      <c r="E22">
        <f>'Hasil EFB 2mm'!K31</f>
        <v>0.25311051442336691</v>
      </c>
      <c r="F22">
        <f>'Hasil EFB 2mm'!K36</f>
        <v>0.98576304469796161</v>
      </c>
      <c r="G22">
        <f>'Hasil EFB 2mm'!K37</f>
        <v>0.9990437894147185</v>
      </c>
      <c r="H22" t="str">
        <f t="shared" si="0"/>
        <v>Orde 2</v>
      </c>
    </row>
    <row r="23" spans="1:8" x14ac:dyDescent="0.35">
      <c r="B23" t="s">
        <v>60</v>
      </c>
      <c r="C23">
        <v>4.8899999999999997</v>
      </c>
      <c r="D23">
        <v>4.8236691748463234E-2</v>
      </c>
      <c r="E23">
        <v>1.4893191800288079E-2</v>
      </c>
      <c r="F23">
        <v>0.87138302899999998</v>
      </c>
      <c r="G23">
        <v>0.77564229200000001</v>
      </c>
      <c r="H23" t="str">
        <f t="shared" si="0"/>
        <v>Orde 1</v>
      </c>
    </row>
    <row r="24" spans="1:8" x14ac:dyDescent="0.35">
      <c r="A24">
        <v>0.85</v>
      </c>
      <c r="B24" t="s">
        <v>42</v>
      </c>
      <c r="C24">
        <f>'Hasil EFB 0.85mm'!K163</f>
        <v>8.89</v>
      </c>
      <c r="D24">
        <f>'Hasil EFB 0.85mm'!K164</f>
        <v>0.1464193332252782</v>
      </c>
      <c r="E24">
        <f>'Hasil EFB 0.85mm'!K165</f>
        <v>3.9246016041558321E-2</v>
      </c>
      <c r="F24">
        <f>'Hasil EFB 0.85mm'!K170</f>
        <v>0.99753086217396503</v>
      </c>
      <c r="G24">
        <f>'Hasil EFB 0.85mm'!K171</f>
        <v>0.96486759522044685</v>
      </c>
      <c r="H24" t="str">
        <f t="shared" si="0"/>
        <v>Orde 1</v>
      </c>
    </row>
    <row r="25" spans="1:8" x14ac:dyDescent="0.35">
      <c r="B25" t="s">
        <v>34</v>
      </c>
      <c r="C25">
        <f>'Hasil EFB 0.85mm'!K2</f>
        <v>132.6</v>
      </c>
      <c r="D25">
        <f>'Hasil EFB 0.85mm'!K3</f>
        <v>0.24904653546224145</v>
      </c>
      <c r="E25">
        <f>'Hasil EFB 0.85mm'!K4</f>
        <v>5.3642324614462979E-3</v>
      </c>
      <c r="F25">
        <f>'Hasil EFB 0.85mm'!K9</f>
        <v>0.99087182893556924</v>
      </c>
      <c r="G25">
        <f>'Hasil EFB 0.85mm'!K10</f>
        <v>0.9853807633133711</v>
      </c>
      <c r="H25" t="str">
        <f t="shared" si="0"/>
        <v>Orde 1</v>
      </c>
    </row>
    <row r="26" spans="1:8" x14ac:dyDescent="0.35">
      <c r="B26" t="s">
        <v>37</v>
      </c>
      <c r="C26">
        <f>'Hasil EFB 0.85mm'!K56</f>
        <v>95.7</v>
      </c>
      <c r="D26">
        <f>'Hasil EFB 0.85mm'!K57</f>
        <v>5.8882084811432698</v>
      </c>
      <c r="E26">
        <f>'Hasil EFB 0.85mm'!K58</f>
        <v>6.7077026672139372E-3</v>
      </c>
      <c r="F26">
        <f>'Hasil EFB 0.85mm'!K63</f>
        <v>0.8574581372759702</v>
      </c>
      <c r="G26">
        <f>'Hasil EFB 0.85mm'!K64</f>
        <v>0.9885273285950914</v>
      </c>
      <c r="H26" t="str">
        <f t="shared" si="0"/>
        <v>Orde 2</v>
      </c>
    </row>
    <row r="27" spans="1:8" x14ac:dyDescent="0.35">
      <c r="B27" t="s">
        <v>39</v>
      </c>
      <c r="C27">
        <f>'Hasil EFB 0.85mm'!K108</f>
        <v>17.5</v>
      </c>
      <c r="D27">
        <f>'Hasil EFB 0.85mm'!K109</f>
        <v>0.38593791334143673</v>
      </c>
      <c r="E27">
        <f>'Hasil EFB 0.85mm'!K110</f>
        <v>7.4296684861056936E-2</v>
      </c>
      <c r="F27">
        <f>'Hasil EFB 0.85mm'!K115</f>
        <v>0.97954551354427633</v>
      </c>
      <c r="G27">
        <f>'Hasil EFB 0.85mm'!K116</f>
        <v>0.99381167623616129</v>
      </c>
      <c r="H27" t="str">
        <f t="shared" si="0"/>
        <v>Orde 2</v>
      </c>
    </row>
    <row r="28" spans="1:8" x14ac:dyDescent="0.35">
      <c r="B28" t="s">
        <v>57</v>
      </c>
      <c r="C28">
        <f>'Hasil EFB 0.85mm'!K218</f>
        <v>668.6</v>
      </c>
      <c r="D28">
        <f>'Hasil EFB 0.85mm'!K219</f>
        <v>0.20322988022065555</v>
      </c>
      <c r="E28">
        <f>'Hasil EFB 0.85mm'!K220</f>
        <v>8.2061262778462948E-4</v>
      </c>
      <c r="F28">
        <f>'Hasil EFB 0.85mm'!K225</f>
        <v>0.97143341565273722</v>
      </c>
      <c r="G28">
        <f>'Hasil EFB 0.85mm'!K226</f>
        <v>0.98599449797788774</v>
      </c>
      <c r="H28" t="str">
        <f t="shared" si="0"/>
        <v>Orde 2</v>
      </c>
    </row>
    <row r="29" spans="1:8" x14ac:dyDescent="0.35">
      <c r="B29" t="s">
        <v>58</v>
      </c>
      <c r="C29">
        <f>'Hasil EFB 0.85mm'!K136</f>
        <v>27.2</v>
      </c>
      <c r="D29">
        <f>'Hasil EFB 0.85mm'!K137</f>
        <v>0.1763554825748786</v>
      </c>
      <c r="E29">
        <f>'Hasil EFB 0.85mm'!K138</f>
        <v>1.624188253935174E-2</v>
      </c>
      <c r="F29">
        <f>'Hasil EFB 0.85mm'!K143</f>
        <v>0.95047817862773987</v>
      </c>
      <c r="G29">
        <f>'Hasil EFB 0.85mm'!K144</f>
        <v>0.98251434463747434</v>
      </c>
      <c r="H29" t="str">
        <f t="shared" si="0"/>
        <v>Orde 2</v>
      </c>
    </row>
    <row r="30" spans="1:8" x14ac:dyDescent="0.35">
      <c r="B30" t="s">
        <v>38</v>
      </c>
      <c r="C30">
        <f>'Hasil EFB 0.85mm'!K81</f>
        <v>5.09</v>
      </c>
      <c r="D30">
        <f>'Hasil EFB 0.85mm'!K82</f>
        <v>5.415443129999538</v>
      </c>
      <c r="E30">
        <f>'Hasil EFB 0.85mm'!K83</f>
        <v>8.1872125012273436E-2</v>
      </c>
      <c r="F30">
        <f>'Hasil EFB 0.85mm'!K88</f>
        <v>0.71181395556397342</v>
      </c>
      <c r="G30">
        <f>'Hasil EFB 0.85mm'!K89</f>
        <v>0.9793859262920972</v>
      </c>
      <c r="H30" t="str">
        <f t="shared" si="0"/>
        <v>Orde 2</v>
      </c>
    </row>
    <row r="31" spans="1:8" x14ac:dyDescent="0.35">
      <c r="B31" t="s">
        <v>59</v>
      </c>
      <c r="C31">
        <f>'Hasil EFB 0.85mm'!K244</f>
        <v>0.9</v>
      </c>
      <c r="D31">
        <f>'Hasil EFB 0.85mm'!K245</f>
        <v>0.11952349012282862</v>
      </c>
      <c r="E31">
        <f>'Hasil EFB 0.85mm'!K246</f>
        <v>0.28782426171557957</v>
      </c>
      <c r="F31">
        <f>'Hasil EFB 0.85mm'!K251</f>
        <v>0.9801283730234136</v>
      </c>
      <c r="G31">
        <f>'Hasil EFB 0.85mm'!K252</f>
        <v>0.95331319238980294</v>
      </c>
      <c r="H31" t="str">
        <f t="shared" si="0"/>
        <v>Orde 1</v>
      </c>
    </row>
    <row r="32" spans="1:8" x14ac:dyDescent="0.35">
      <c r="B32" t="s">
        <v>44</v>
      </c>
      <c r="C32">
        <f>'Hasil EFB 0.85mm'!K190</f>
        <v>0.1</v>
      </c>
      <c r="D32">
        <f>'Hasil EFB 0.85mm'!K191</f>
        <v>0.1287262779282789</v>
      </c>
      <c r="E32">
        <f>'Hasil EFB 0.85mm'!K192</f>
        <v>2.5848254685963501</v>
      </c>
      <c r="F32">
        <f>'Hasil EFB 0.85mm'!K197</f>
        <v>0.76876696006460798</v>
      </c>
      <c r="G32">
        <f>'Hasil EFB 0.85mm'!K198</f>
        <v>0.65351529643198503</v>
      </c>
      <c r="H32" t="str">
        <f t="shared" si="0"/>
        <v>Orde 1</v>
      </c>
    </row>
    <row r="33" spans="2:8" x14ac:dyDescent="0.35">
      <c r="B33" t="s">
        <v>27</v>
      </c>
      <c r="C33">
        <f>'Hasil EFB 0.85mm'!K28</f>
        <v>9.3000000000000007</v>
      </c>
      <c r="D33">
        <f>'Hasil EFB 0.85mm'!K29</f>
        <v>5.9707656899245656</v>
      </c>
      <c r="E33">
        <f>'Hasil EFB 0.85mm'!K30</f>
        <v>8.6490221941788403E-2</v>
      </c>
      <c r="F33">
        <f>'Hasil EFB 0.85mm'!K35</f>
        <v>0.90794784228506709</v>
      </c>
      <c r="G33">
        <f>'Hasil EFB 0.85mm'!K36</f>
        <v>0.9962015681100409</v>
      </c>
      <c r="H33" t="str">
        <f t="shared" si="0"/>
        <v>Orde 2</v>
      </c>
    </row>
    <row r="34" spans="2:8" x14ac:dyDescent="0.35">
      <c r="B34" t="s">
        <v>60</v>
      </c>
      <c r="C34">
        <v>4.99</v>
      </c>
      <c r="D34">
        <v>5.3496561097322003E-2</v>
      </c>
      <c r="E34">
        <v>1.7232420844470998E-2</v>
      </c>
      <c r="F34">
        <v>0.86373951199999999</v>
      </c>
      <c r="G34">
        <v>0.78255480600000005</v>
      </c>
      <c r="H34" t="str">
        <f t="shared" si="0"/>
        <v>Orde 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Perhitungan</vt:lpstr>
      <vt:lpstr>Hasil EFB 10mm</vt:lpstr>
      <vt:lpstr>Hasil EFB 2mm</vt:lpstr>
      <vt:lpstr>Hasil EFB 0.85mm</vt:lpstr>
      <vt:lpstr>Ringkasan Hasil Analisis Logam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elfrana elfrana</dc:creator>
  <cp:lastModifiedBy>Elfrana De Ridwan</cp:lastModifiedBy>
  <dcterms:created xsi:type="dcterms:W3CDTF">2026-06-16T15:35:54Z</dcterms:created>
  <dcterms:modified xsi:type="dcterms:W3CDTF">2026-07-16T09:42:15Z</dcterms:modified>
</cp:coreProperties>
</file>